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hugo_knupp_prestserv_petrobras_com_br/Documents/Projetos/20. Dash Excel/"/>
    </mc:Choice>
  </mc:AlternateContent>
  <xr:revisionPtr revIDLastSave="87" documentId="8_{D02754C7-DAC9-4305-876D-C5DBD1EB8399}" xr6:coauthVersionLast="47" xr6:coauthVersionMax="47" xr10:uidLastSave="{187A7224-0AB4-4E1C-9EDA-66572DBFAEE6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H8" i="3"/>
</calcChain>
</file>

<file path=xl/sharedStrings.xml><?xml version="1.0" encoding="utf-8"?>
<sst xmlns="http://schemas.openxmlformats.org/spreadsheetml/2006/main" count="2015" uniqueCount="319">
  <si>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</si>
  <si>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</si>
  <si>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</si>
  <si>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</si>
  <si>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</si>
  <si>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</si>
  <si>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</si>
  <si>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</si>
  <si>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</si>
  <si>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</si>
  <si>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</si>
  <si>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</si>
  <si>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</si>
  <si>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</si>
  <si>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</si>
  <si>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</si>
  <si>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</si>
  <si>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</si>
  <si>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</si>
  <si>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</si>
  <si>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</si>
  <si>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</si>
  <si>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</si>
  <si>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</si>
  <si>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</si>
  <si>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</si>
  <si>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</si>
  <si>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</si>
  <si>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</si>
  <si>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</si>
  <si>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</si>
  <si>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</si>
  <si>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</si>
  <si>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</si>
  <si>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</si>
  <si>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</si>
  <si>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</si>
  <si>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</si>
  <si>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</si>
  <si>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</si>
  <si>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</si>
  <si>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</si>
  <si>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</si>
  <si>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</si>
  <si>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</si>
  <si>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</si>
  <si>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</si>
  <si>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</si>
  <si>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</si>
  <si>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</si>
  <si>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</si>
  <si>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</si>
  <si>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</si>
  <si>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</si>
  <si>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</si>
  <si>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</si>
  <si>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</si>
  <si>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</si>
  <si>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</si>
  <si>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</si>
  <si>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</si>
  <si>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</si>
  <si>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</si>
  <si>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</si>
  <si>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</si>
  <si>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</si>
  <si>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</si>
  <si>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</si>
  <si>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</si>
  <si>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</si>
  <si>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</si>
  <si>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</si>
  <si>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</si>
  <si>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</si>
  <si>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</si>
  <si>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</si>
  <si>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</si>
  <si>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</si>
  <si>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</si>
  <si>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</si>
  <si>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</si>
  <si>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</si>
  <si>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</si>
  <si>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</si>
  <si>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</si>
  <si>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</si>
  <si>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</si>
  <si>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</si>
  <si>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</si>
  <si>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</si>
  <si>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</si>
  <si>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</si>
  <si>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</si>
  <si>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</si>
  <si>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</si>
  <si>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</si>
  <si>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</si>
  <si>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</si>
  <si>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</si>
  <si>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</si>
  <si>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</si>
  <si>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</si>
  <si>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</si>
  <si>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</si>
  <si>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</si>
  <si>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</si>
  <si>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</si>
  <si>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</si>
  <si>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</si>
  <si>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</si>
  <si>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</si>
  <si>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</si>
  <si>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</si>
  <si>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</si>
  <si>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</si>
  <si>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</si>
  <si>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</si>
  <si>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</si>
  <si>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</si>
  <si>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</si>
  <si>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</si>
  <si>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</si>
  <si>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</si>
  <si>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</si>
  <si>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</si>
  <si>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</si>
  <si>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</si>
  <si>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</si>
  <si>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</si>
  <si>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</si>
  <si>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</si>
  <si>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</si>
  <si>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</si>
  <si>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</si>
  <si>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</si>
  <si>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</si>
  <si>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</si>
  <si>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</si>
  <si>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</si>
  <si>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</si>
  <si>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</si>
  <si>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</si>
  <si>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</si>
  <si>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</si>
  <si>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</si>
  <si>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</si>
  <si>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</si>
  <si>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</si>
  <si>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</si>
  <si>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</si>
  <si>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</si>
  <si>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</si>
  <si>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</si>
  <si>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</si>
  <si>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</si>
  <si>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</si>
  <si>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</si>
  <si>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</si>
  <si>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</si>
  <si>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</si>
  <si>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</si>
  <si>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</si>
  <si>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</si>
  <si>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</si>
  <si>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</si>
  <si>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</si>
  <si>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</si>
  <si>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</si>
  <si>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</si>
  <si>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</si>
  <si>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</si>
  <si>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</si>
  <si>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</si>
  <si>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</si>
  <si>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</si>
  <si>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</si>
  <si>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</si>
  <si>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</si>
  <si>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</si>
  <si>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</si>
  <si>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</si>
  <si>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</si>
  <si>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</si>
  <si>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</si>
  <si>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</si>
  <si>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</si>
  <si>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</si>
  <si>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</si>
  <si>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</si>
  <si>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</si>
  <si>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</si>
  <si>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</si>
  <si>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</si>
  <si>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</si>
  <si>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</si>
  <si>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</si>
  <si>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</si>
  <si>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</si>
  <si>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</si>
  <si>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</si>
  <si>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</si>
  <si>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</si>
  <si>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</si>
  <si>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</si>
  <si>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</si>
  <si>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</si>
  <si>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</si>
  <si>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</si>
  <si>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</si>
  <si>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</si>
  <si>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</si>
  <si>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</si>
  <si>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</si>
  <si>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</si>
  <si>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</si>
  <si>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</si>
  <si>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</si>
  <si>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</si>
  <si>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</si>
  <si>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</si>
  <si>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</si>
  <si>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</si>
  <si>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</si>
  <si>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</si>
  <si>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</si>
  <si>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</si>
  <si>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</si>
  <si>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</si>
  <si>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</si>
  <si>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</si>
  <si>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</si>
  <si>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</si>
  <si>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</si>
  <si>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</si>
  <si>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</si>
  <si>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</si>
  <si>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</si>
  <si>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</si>
  <si>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</si>
  <si>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</si>
  <si>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</si>
  <si>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</si>
  <si>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</si>
  <si>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</si>
  <si>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</si>
  <si>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</si>
  <si>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</si>
  <si>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</si>
  <si>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</si>
  <si>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</si>
  <si>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</si>
  <si>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</si>
  <si>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</si>
  <si>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</si>
  <si>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</si>
  <si>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</si>
  <si>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</si>
  <si>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</si>
  <si>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</si>
  <si>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</si>
  <si>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</si>
  <si>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</si>
  <si>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</si>
  <si>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</si>
  <si>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</si>
  <si>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</si>
  <si>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</si>
  <si>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</si>
  <si>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</si>
  <si>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</si>
  <si>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</si>
  <si>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</si>
  <si>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</si>
  <si>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</si>
  <si>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</si>
  <si>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</si>
  <si>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</si>
  <si>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</si>
  <si>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</si>
  <si>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</si>
  <si>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</si>
  <si>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</si>
  <si>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</si>
  <si>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</si>
  <si>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</si>
  <si>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</si>
  <si>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</si>
  <si>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</si>
  <si>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</si>
  <si>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</si>
  <si>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</si>
  <si>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</si>
  <si>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</si>
  <si>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</si>
  <si>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</si>
  <si>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</si>
  <si>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</si>
  <si>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</si>
  <si>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</si>
  <si>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</si>
  <si>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</si>
  <si>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</si>
  <si>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</si>
  <si>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</si>
  <si>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</si>
  <si>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</si>
  <si>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</si>
  <si>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</si>
  <si>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</si>
  <si>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</si>
  <si>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</si>
  <si>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</si>
  <si>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</si>
  <si>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</si>
  <si>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</si>
  <si>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</si>
  <si>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SALES PANEL - XBOX GAME PASS</t>
  </si>
  <si>
    <t>Rótulos de Coluna</t>
  </si>
  <si>
    <t>Contagem de Subscriber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</si>
</sst>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0" fontId="4" fillId="4" borderId="0" xfId="0" applyFont="1" applyFill="1"/>
    <xf numFmtId="0" fontId="0" fillId="8" borderId="0" xfId="0" applyFill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AE6B1"/>
      <color rgb="FF9BC848"/>
      <color rgb="FF22C55E"/>
      <color rgb="FFE70011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[Sales_Xbox_Gamepass.xlsx]C̳álculos!Tabela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4.16666666666666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4.16666666666666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7222222222222225"/>
              <c:y val="8.796296296296296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8E8913-C780-42B7-ADE1-B4924F30CC9B}" type="CATEGORYNAME">
                  <a:rPr lang="en-US" sz="1050"/>
                  <a:pPr>
                    <a:defRPr sz="1050"/>
                  </a:pPr>
                  <a:t>[NOME DA CATEGORIA]</a:t>
                </a:fld>
                <a:r>
                  <a:rPr lang="en-US" sz="1050" baseline="0"/>
                  <a:t>
</a:t>
                </a:r>
                <a:fld id="{D9A8B3FB-1D9D-4404-B0FE-FF321E721903}" type="PERCENTAGE">
                  <a:rPr lang="en-US" sz="1050" baseline="0"/>
                  <a:pPr>
                    <a:defRPr sz="1050"/>
                  </a:pPr>
                  <a:t>[PORCENTAGEM]</a:t>
                </a:fld>
                <a:endParaRPr lang="en-US" sz="1050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A7-40D5-97D8-AB0FEC30B9EE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A7-40D5-97D8-AB0FEC30B9EE}"/>
              </c:ext>
            </c:extLst>
          </c:dPt>
          <c:dPt>
            <c:idx val="2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A7-40D5-97D8-AB0FEC30B9EE}"/>
              </c:ext>
            </c:extLst>
          </c:dPt>
          <c:dLbls>
            <c:dLbl>
              <c:idx val="0"/>
              <c:layout>
                <c:manualLayout>
                  <c:x val="-0.27222222222222225"/>
                  <c:y val="8.7962962962962965E-2"/>
                </c:manualLayout>
              </c:layout>
              <c:tx>
                <c:rich>
                  <a:bodyPr/>
                  <a:lstStyle/>
                  <a:p>
                    <a:fld id="{CB8E8913-C780-42B7-ADE1-B4924F30CC9B}" type="CATEGORYNAME">
                      <a:rPr lang="en-US" sz="1050"/>
                      <a:pPr/>
                      <a:t>[NOME DA CATEGORIA]</a:t>
                    </a:fld>
                    <a:r>
                      <a:rPr lang="en-US" sz="1050" baseline="0"/>
                      <a:t>
</a:t>
                    </a:r>
                    <a:fld id="{D9A8B3FB-1D9D-4404-B0FE-FF321E721903}" type="PERCENTAGE">
                      <a:rPr lang="en-US" sz="1050" baseline="0"/>
                      <a:pPr/>
                      <a:t>[PORCENTAGEM]</a:t>
                    </a:fld>
                    <a:endParaRPr lang="en-US" sz="105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BA7-40D5-97D8-AB0FEC30B9E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C̳álculos!$C$7:$C$10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C̳álculos!$D$7:$D$10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A7-40D5-97D8-AB0FEC30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[Sales_Xbox_Gamepass.xlsx]C̳álculos!Tabela dinâmica2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70011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E7001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C̳álculos!$D$14:$D$15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  <a:sp3d/>
          </c:spPr>
          <c:invertIfNegative val="0"/>
          <c:cat>
            <c:strRef>
              <c:f>C̳álculos!$C$16:$C$19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C̳álculos!$D$16:$D$19</c:f>
              <c:numCache>
                <c:formatCode>General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F-4BEA-8904-487C1D92AF9E}"/>
            </c:ext>
          </c:extLst>
        </c:ser>
        <c:ser>
          <c:idx val="1"/>
          <c:order val="1"/>
          <c:tx>
            <c:strRef>
              <c:f>C̳álculos!$E$14:$E$15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cat>
            <c:strRef>
              <c:f>C̳álculos!$C$16:$C$19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C̳álculos!$E$16:$E$19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F-4BEA-8904-487C1D92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5664208"/>
        <c:axId val="1205664688"/>
        <c:axId val="0"/>
      </c:bar3DChart>
      <c:catAx>
        <c:axId val="120566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5664688"/>
        <c:crosses val="autoZero"/>
        <c:auto val="1"/>
        <c:lblAlgn val="ctr"/>
        <c:lblOffset val="100"/>
        <c:noMultiLvlLbl val="0"/>
      </c:catAx>
      <c:valAx>
        <c:axId val="1205664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566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5120385232745"/>
          <c:y val="0.43124650952177301"/>
          <c:w val="8.2970269979625838E-2"/>
          <c:h val="0.19714532120365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495300</xdr:colOff>
      <xdr:row>0</xdr:row>
      <xdr:rowOff>171450</xdr:rowOff>
    </xdr:from>
    <xdr:to>
      <xdr:col>0</xdr:col>
      <xdr:colOff>1028700</xdr:colOff>
      <xdr:row>0</xdr:row>
      <xdr:rowOff>704850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D161A7-63EF-4D5C-9488-F369B1E47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0" t="22261" r="73267" b="23538"/>
        <a:stretch>
          <a:fillRect/>
        </a:stretch>
      </xdr:blipFill>
      <xdr:spPr>
        <a:xfrm>
          <a:off x="495300" y="171450"/>
          <a:ext cx="533400" cy="533400"/>
        </a:xfrm>
        <a:prstGeom prst="rect">
          <a:avLst/>
        </a:prstGeom>
      </xdr:spPr>
    </xdr:pic>
    <xdr:clientData/>
  </xdr:twoCellAnchor>
  <xdr:twoCellAnchor>
    <xdr:from>
      <xdr:col>1</xdr:col>
      <xdr:colOff>200024</xdr:colOff>
      <xdr:row>1</xdr:row>
      <xdr:rowOff>228601</xdr:rowOff>
    </xdr:from>
    <xdr:to>
      <xdr:col>11</xdr:col>
      <xdr:colOff>0</xdr:colOff>
      <xdr:row>17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C5885591-0E74-2676-A418-3ED598B09E48}"/>
            </a:ext>
          </a:extLst>
        </xdr:cNvPr>
        <xdr:cNvGrpSpPr/>
      </xdr:nvGrpSpPr>
      <xdr:grpSpPr>
        <a:xfrm>
          <a:off x="1571624" y="1190626"/>
          <a:ext cx="5534026" cy="2943224"/>
          <a:chOff x="3914774" y="1381125"/>
          <a:chExt cx="5534026" cy="3124199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A1EFC388-683E-F39E-8A3B-E85E70C4CE8E}"/>
              </a:ext>
            </a:extLst>
          </xdr:cNvPr>
          <xdr:cNvGrpSpPr/>
        </xdr:nvGrpSpPr>
        <xdr:grpSpPr>
          <a:xfrm>
            <a:off x="3914775" y="1390649"/>
            <a:ext cx="5534025" cy="3114675"/>
            <a:chOff x="1371600" y="1104899"/>
            <a:chExt cx="5534025" cy="3114675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94890F4B-A6A5-3C52-3016-2D9E089E5F8D}"/>
                </a:ext>
              </a:extLst>
            </xdr:cNvPr>
            <xdr:cNvSpPr/>
          </xdr:nvSpPr>
          <xdr:spPr>
            <a:xfrm>
              <a:off x="1371600" y="1104899"/>
              <a:ext cx="5534025" cy="3114675"/>
            </a:xfrm>
            <a:prstGeom prst="roundRect">
              <a:avLst>
                <a:gd name="adj" fmla="val 9939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88B5AB5-8167-4B70-B624-4A8DC88E2F42}"/>
                </a:ext>
              </a:extLst>
            </xdr:cNvPr>
            <xdr:cNvGraphicFramePr>
              <a:graphicFrameLocks/>
            </xdr:cNvGraphicFramePr>
          </xdr:nvGraphicFramePr>
          <xdr:xfrm>
            <a:off x="1771650" y="128587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9725CD97-5A06-234E-9988-D61EB6FE9C35}"/>
              </a:ext>
            </a:extLst>
          </xdr:cNvPr>
          <xdr:cNvSpPr/>
        </xdr:nvSpPr>
        <xdr:spPr>
          <a:xfrm>
            <a:off x="3914774" y="1381125"/>
            <a:ext cx="5534025" cy="45720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REVENUE</a:t>
            </a:r>
            <a:r>
              <a:rPr lang="pt-BR" sz="2000" baseline="0"/>
              <a:t> DISTRIBUTION PER PLAN TYPE</a:t>
            </a:r>
            <a:endParaRPr lang="pt-BR" sz="2000"/>
          </a:p>
        </xdr:txBody>
      </xdr:sp>
    </xdr:grpSp>
    <xdr:clientData/>
  </xdr:twoCellAnchor>
  <xdr:twoCellAnchor>
    <xdr:from>
      <xdr:col>12</xdr:col>
      <xdr:colOff>0</xdr:colOff>
      <xdr:row>1</xdr:row>
      <xdr:rowOff>237573</xdr:rowOff>
    </xdr:from>
    <xdr:to>
      <xdr:col>20</xdr:col>
      <xdr:colOff>284146</xdr:colOff>
      <xdr:row>17</xdr:row>
      <xdr:rowOff>8972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C1C61C8-9F2F-A025-952F-7586CB7E1B89}"/>
            </a:ext>
          </a:extLst>
        </xdr:cNvPr>
        <xdr:cNvGrpSpPr/>
      </xdr:nvGrpSpPr>
      <xdr:grpSpPr>
        <a:xfrm>
          <a:off x="7553325" y="1199598"/>
          <a:ext cx="5160946" cy="2943224"/>
          <a:chOff x="11324048" y="1278671"/>
          <a:chExt cx="5160946" cy="2943224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7CE11B86-4B4D-DEE7-02DB-C9D65E3C4F4E}"/>
              </a:ext>
            </a:extLst>
          </xdr:cNvPr>
          <xdr:cNvSpPr/>
        </xdr:nvSpPr>
        <xdr:spPr>
          <a:xfrm>
            <a:off x="11324048" y="1287644"/>
            <a:ext cx="5160946" cy="2934251"/>
          </a:xfrm>
          <a:prstGeom prst="roundRect">
            <a:avLst>
              <a:gd name="adj" fmla="val 9939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F866DE49-11C9-4124-B26D-ECBA80BECCA5}"/>
              </a:ext>
            </a:extLst>
          </xdr:cNvPr>
          <xdr:cNvGraphicFramePr>
            <a:graphicFrameLocks/>
          </xdr:cNvGraphicFramePr>
        </xdr:nvGraphicFramePr>
        <xdr:xfrm>
          <a:off x="11324048" y="1735871"/>
          <a:ext cx="5160945" cy="2486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6687A5D-EC9A-B76E-1A73-05C47FBA70DB}"/>
              </a:ext>
            </a:extLst>
          </xdr:cNvPr>
          <xdr:cNvSpPr/>
        </xdr:nvSpPr>
        <xdr:spPr>
          <a:xfrm>
            <a:off x="11324048" y="1278671"/>
            <a:ext cx="5160946" cy="45719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AUTORENEWAL</a:t>
            </a:r>
            <a:r>
              <a:rPr lang="pt-BR" sz="2000" baseline="0"/>
              <a:t> PER PLAN TYPE</a:t>
            </a:r>
            <a:endParaRPr lang="pt-BR" sz="2000"/>
          </a:p>
        </xdr:txBody>
      </xdr:sp>
    </xdr:grpSp>
    <xdr:clientData/>
  </xdr:twoCellAnchor>
  <xdr:twoCellAnchor>
    <xdr:from>
      <xdr:col>2</xdr:col>
      <xdr:colOff>0</xdr:colOff>
      <xdr:row>18</xdr:row>
      <xdr:rowOff>142875</xdr:rowOff>
    </xdr:from>
    <xdr:to>
      <xdr:col>11</xdr:col>
      <xdr:colOff>1</xdr:colOff>
      <xdr:row>27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1B36D71B-43C4-09DE-B18C-BD5E02820474}"/>
            </a:ext>
          </a:extLst>
        </xdr:cNvPr>
        <xdr:cNvGrpSpPr/>
      </xdr:nvGrpSpPr>
      <xdr:grpSpPr>
        <a:xfrm>
          <a:off x="1619250" y="4457700"/>
          <a:ext cx="5486401" cy="1485900"/>
          <a:chOff x="1619250" y="4457700"/>
          <a:chExt cx="5486401" cy="148590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101A65D5-0C50-07E3-BAF5-AAF82EB8476F}"/>
              </a:ext>
            </a:extLst>
          </xdr:cNvPr>
          <xdr:cNvSpPr/>
        </xdr:nvSpPr>
        <xdr:spPr>
          <a:xfrm>
            <a:off x="1619251" y="4495800"/>
            <a:ext cx="5486400" cy="14478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F0000"/>
              </a:solidFill>
            </a:endParaRPr>
          </a:p>
        </xdr:txBody>
      </xdr:sp>
      <xdr:sp macro="" textlink="C̳álculos!H8">
        <xdr:nvSpPr>
          <xdr:cNvPr id="16" name="CaixaDeTexto 15">
            <a:extLst>
              <a:ext uri="{FF2B5EF4-FFF2-40B4-BE49-F238E27FC236}">
                <a16:creationId xmlns:a16="http://schemas.microsoft.com/office/drawing/2014/main" id="{BD662AAC-1794-F080-81C9-C3F9CCAAA679}"/>
              </a:ext>
            </a:extLst>
          </xdr:cNvPr>
          <xdr:cNvSpPr txBox="1"/>
        </xdr:nvSpPr>
        <xdr:spPr>
          <a:xfrm>
            <a:off x="2019300" y="4857750"/>
            <a:ext cx="4267200" cy="1085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EE587A7-E8F1-4F16-9143-0F37CAE76F8B}" type="TxLink">
              <a:rPr lang="en-US" sz="54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R$ 7.633,00 </a:t>
            </a:fld>
            <a:endParaRPr lang="pt-BR" sz="5400">
              <a:solidFill>
                <a:srgbClr val="2AE6B1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BCBE0770-844C-43C9-A137-F1FC17523A5D}"/>
              </a:ext>
            </a:extLst>
          </xdr:cNvPr>
          <xdr:cNvSpPr/>
        </xdr:nvSpPr>
        <xdr:spPr>
          <a:xfrm>
            <a:off x="1619250" y="4457700"/>
            <a:ext cx="5486400" cy="43071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TOTAL</a:t>
            </a:r>
            <a:r>
              <a:rPr lang="pt-BR" sz="2000" baseline="0"/>
              <a:t> REVENUE</a:t>
            </a:r>
            <a:endParaRPr lang="pt-BR" sz="2000"/>
          </a:p>
        </xdr:txBody>
      </xdr:sp>
    </xdr:grpSp>
    <xdr:clientData/>
  </xdr:twoCellAnchor>
  <xdr:twoCellAnchor>
    <xdr:from>
      <xdr:col>12</xdr:col>
      <xdr:colOff>1</xdr:colOff>
      <xdr:row>18</xdr:row>
      <xdr:rowOff>133350</xdr:rowOff>
    </xdr:from>
    <xdr:to>
      <xdr:col>20</xdr:col>
      <xdr:colOff>284147</xdr:colOff>
      <xdr:row>26</xdr:row>
      <xdr:rowOff>171450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64D28B60-E576-4BDE-AB53-496710B29363}"/>
            </a:ext>
          </a:extLst>
        </xdr:cNvPr>
        <xdr:cNvGrpSpPr/>
      </xdr:nvGrpSpPr>
      <xdr:grpSpPr>
        <a:xfrm>
          <a:off x="7553326" y="4448175"/>
          <a:ext cx="5160946" cy="1485900"/>
          <a:chOff x="1619250" y="4457700"/>
          <a:chExt cx="5486401" cy="148590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0A535734-848E-44EC-504C-236D35EF6E69}"/>
              </a:ext>
            </a:extLst>
          </xdr:cNvPr>
          <xdr:cNvSpPr/>
        </xdr:nvSpPr>
        <xdr:spPr>
          <a:xfrm>
            <a:off x="1619251" y="4495800"/>
            <a:ext cx="5486400" cy="14478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F0000"/>
              </a:solidFill>
            </a:endParaRPr>
          </a:p>
        </xdr:txBody>
      </xdr:sp>
      <xdr:sp macro="" textlink="C̳álculos!H9">
        <xdr:nvSpPr>
          <xdr:cNvPr id="26" name="CaixaDeTexto 25">
            <a:extLst>
              <a:ext uri="{FF2B5EF4-FFF2-40B4-BE49-F238E27FC236}">
                <a16:creationId xmlns:a16="http://schemas.microsoft.com/office/drawing/2014/main" id="{A1E549E9-3790-715E-4FE3-179689CEA330}"/>
              </a:ext>
            </a:extLst>
          </xdr:cNvPr>
          <xdr:cNvSpPr txBox="1"/>
        </xdr:nvSpPr>
        <xdr:spPr>
          <a:xfrm>
            <a:off x="2019300" y="4857750"/>
            <a:ext cx="4267200" cy="1085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3F2A72D-4EE5-433A-B104-2E4FCA5BC493}" type="TxLink">
              <a:rPr lang="en-US" sz="5400" b="0" i="0" u="none" strike="noStrike">
                <a:solidFill>
                  <a:srgbClr val="2AE6B1"/>
                </a:solidFill>
                <a:latin typeface="Aptos Narrow"/>
              </a:rPr>
              <a:t> R$ 3.786,00 </a:t>
            </a:fld>
            <a:endParaRPr lang="pt-BR" sz="34400">
              <a:solidFill>
                <a:srgbClr val="2AE6B1"/>
              </a:solidFill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930A334D-453E-AFE0-7E44-0558D276FB81}"/>
              </a:ext>
            </a:extLst>
          </xdr:cNvPr>
          <xdr:cNvSpPr/>
        </xdr:nvSpPr>
        <xdr:spPr>
          <a:xfrm>
            <a:off x="1619250" y="4457700"/>
            <a:ext cx="5486400" cy="43071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TOTAL</a:t>
            </a:r>
            <a:r>
              <a:rPr lang="pt-BR" sz="2000" baseline="0"/>
              <a:t> REVENUE WITH AUTORENEWAL</a:t>
            </a:r>
            <a:endParaRPr lang="pt-BR" sz="20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go Kersbaumer Knupp - PrestServ" refreshedDate="46091.624721643515" createdVersion="8" refreshedVersion="8" minRefreshableVersion="3" recordCount="295" xr:uid="{0CC5FA8E-7639-4AB7-BDE4-6CC4D422E71B}">
  <cacheSource type="worksheet">
    <worksheetSource name="tbl_venda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s v="Monthly"/>
    <s v="Yes"/>
    <n v="30"/>
    <s v="Yes"/>
    <n v="20"/>
    <n v="5"/>
    <n v="60"/>
  </r>
  <r>
    <n v="3232"/>
    <s v="Maria Oliveira"/>
    <x v="1"/>
    <d v="2024-01-15T00:00:00"/>
    <x v="1"/>
    <n v="5"/>
    <s v="Annual"/>
    <s v="No"/>
    <s v="-"/>
    <s v="No"/>
    <n v="0"/>
    <n v="0"/>
    <n v="5"/>
  </r>
  <r>
    <n v="3233"/>
    <s v="Lucas Fernandes"/>
    <x v="2"/>
    <d v="2024-02-10T00:00:00"/>
    <x v="0"/>
    <n v="10"/>
    <s v="Quarterly"/>
    <s v="No"/>
    <s v="-"/>
    <s v="Yes"/>
    <n v="20"/>
    <n v="10"/>
    <n v="20"/>
  </r>
  <r>
    <n v="3234"/>
    <s v="Ana Souza"/>
    <x v="0"/>
    <d v="2024-02-20T00:00:00"/>
    <x v="1"/>
    <n v="15"/>
    <s v="Monthly"/>
    <s v="Yes"/>
    <n v="30"/>
    <s v="Yes"/>
    <n v="20"/>
    <n v="3"/>
    <n v="62"/>
  </r>
  <r>
    <n v="3235"/>
    <s v="Pedro Gonçalves"/>
    <x v="1"/>
    <d v="2024-03-05T00:00:00"/>
    <x v="0"/>
    <n v="5"/>
    <s v="Monthly"/>
    <s v="No"/>
    <s v="-"/>
    <s v="No"/>
    <n v="0"/>
    <n v="1"/>
    <n v="4"/>
  </r>
  <r>
    <n v="3236"/>
    <s v="Felipe Costa"/>
    <x v="2"/>
    <d v="2024-03-02T00:00:00"/>
    <x v="1"/>
    <n v="10"/>
    <s v="Monthly"/>
    <s v="No"/>
    <s v="-"/>
    <s v="Yes"/>
    <n v="20"/>
    <n v="2"/>
    <n v="28"/>
  </r>
  <r>
    <n v="3237"/>
    <s v="Camila Ribeiro"/>
    <x v="0"/>
    <d v="2024-03-03T00:00:00"/>
    <x v="0"/>
    <n v="15"/>
    <s v="Quarterly"/>
    <s v="Yes"/>
    <n v="30"/>
    <s v="Yes"/>
    <n v="20"/>
    <n v="10"/>
    <n v="55"/>
  </r>
  <r>
    <n v="3238"/>
    <s v="André Mendes"/>
    <x v="1"/>
    <d v="2024-03-04T00:00:00"/>
    <x v="0"/>
    <n v="5"/>
    <s v="Annual"/>
    <s v="No"/>
    <s v="-"/>
    <s v="No"/>
    <n v="0"/>
    <n v="0"/>
    <n v="5"/>
  </r>
  <r>
    <n v="3239"/>
    <s v="Sofia Almeida"/>
    <x v="0"/>
    <d v="2024-03-05T00:00:00"/>
    <x v="1"/>
    <n v="15"/>
    <s v="Monthly"/>
    <s v="Yes"/>
    <n v="30"/>
    <s v="Yes"/>
    <n v="20"/>
    <n v="5"/>
    <n v="60"/>
  </r>
  <r>
    <n v="3240"/>
    <s v="Bruno Martins"/>
    <x v="2"/>
    <d v="2024-03-06T00:00:00"/>
    <x v="0"/>
    <n v="10"/>
    <s v="Quarterly"/>
    <s v="No"/>
    <s v="-"/>
    <s v="Yes"/>
    <n v="20"/>
    <n v="15"/>
    <n v="15"/>
  </r>
  <r>
    <n v="3241"/>
    <s v="Rita Castro"/>
    <x v="1"/>
    <d v="2024-03-07T00:00:00"/>
    <x v="1"/>
    <n v="5"/>
    <s v="Monthly"/>
    <s v="No"/>
    <s v="-"/>
    <s v="No"/>
    <n v="0"/>
    <n v="1"/>
    <n v="4"/>
  </r>
  <r>
    <n v="3242"/>
    <s v="Marco Túlio"/>
    <x v="0"/>
    <d v="2024-03-08T00:00:00"/>
    <x v="0"/>
    <n v="15"/>
    <s v="Annual"/>
    <s v="Yes"/>
    <n v="30"/>
    <s v="Yes"/>
    <n v="20"/>
    <n v="20"/>
    <n v="45"/>
  </r>
  <r>
    <n v="3243"/>
    <s v="Lívia Silveira"/>
    <x v="2"/>
    <d v="2024-03-09T00:00:00"/>
    <x v="1"/>
    <n v="10"/>
    <s v="Monthly"/>
    <s v="No"/>
    <s v="-"/>
    <s v="Yes"/>
    <n v="20"/>
    <n v="10"/>
    <n v="20"/>
  </r>
  <r>
    <n v="3244"/>
    <s v="Diogo Sousa"/>
    <x v="1"/>
    <d v="2024-03-10T00:00:00"/>
    <x v="0"/>
    <n v="5"/>
    <s v="Quarterly"/>
    <s v="No"/>
    <s v="-"/>
    <s v="No"/>
    <n v="0"/>
    <n v="0"/>
    <n v="5"/>
  </r>
  <r>
    <n v="3245"/>
    <s v="Fernanda Lima"/>
    <x v="0"/>
    <d v="2024-03-11T00:00:00"/>
    <x v="1"/>
    <n v="15"/>
    <s v="Monthly"/>
    <s v="Yes"/>
    <n v="30"/>
    <s v="Yes"/>
    <n v="20"/>
    <n v="8"/>
    <n v="57"/>
  </r>
  <r>
    <n v="3246"/>
    <s v="Caio Pereira"/>
    <x v="2"/>
    <d v="2024-03-12T00:00:00"/>
    <x v="0"/>
    <n v="10"/>
    <s v="Annual"/>
    <s v="No"/>
    <s v="-"/>
    <s v="Yes"/>
    <n v="20"/>
    <n v="12"/>
    <n v="18"/>
  </r>
  <r>
    <n v="3247"/>
    <s v="Beatriz Gomes"/>
    <x v="1"/>
    <d v="2024-03-13T00:00:00"/>
    <x v="1"/>
    <n v="5"/>
    <s v="Monthly"/>
    <s v="No"/>
    <s v="-"/>
    <s v="No"/>
    <n v="0"/>
    <n v="2"/>
    <n v="3"/>
  </r>
  <r>
    <n v="3248"/>
    <s v="Cesar Oliveira"/>
    <x v="0"/>
    <d v="2024-03-14T00:00:00"/>
    <x v="0"/>
    <n v="15"/>
    <s v="Quarterly"/>
    <s v="Yes"/>
    <n v="30"/>
    <s v="Yes"/>
    <n v="20"/>
    <n v="7"/>
    <n v="58"/>
  </r>
  <r>
    <n v="3249"/>
    <s v="Débora Machado"/>
    <x v="2"/>
    <d v="2024-03-15T00:00:00"/>
    <x v="1"/>
    <n v="10"/>
    <s v="Monthly"/>
    <s v="No"/>
    <s v="-"/>
    <s v="Yes"/>
    <n v="20"/>
    <n v="5"/>
    <n v="25"/>
  </r>
  <r>
    <n v="3250"/>
    <s v="Eduardo Vargas"/>
    <x v="1"/>
    <d v="2024-03-16T00:00:00"/>
    <x v="0"/>
    <n v="5"/>
    <s v="Annual"/>
    <s v="No"/>
    <s v="-"/>
    <s v="No"/>
    <n v="0"/>
    <n v="0"/>
    <n v="5"/>
  </r>
  <r>
    <n v="3251"/>
    <s v="Gabriela Santos"/>
    <x v="0"/>
    <d v="2024-03-17T00:00:00"/>
    <x v="1"/>
    <n v="15"/>
    <s v="Monthly"/>
    <s v="Yes"/>
    <n v="30"/>
    <s v="Yes"/>
    <n v="20"/>
    <n v="3"/>
    <n v="62"/>
  </r>
  <r>
    <n v="3252"/>
    <s v="Henrique Dias"/>
    <x v="2"/>
    <d v="2024-03-18T00:00:00"/>
    <x v="0"/>
    <n v="10"/>
    <s v="Quarterly"/>
    <s v="No"/>
    <s v="-"/>
    <s v="Yes"/>
    <n v="20"/>
    <n v="15"/>
    <n v="15"/>
  </r>
  <r>
    <n v="3253"/>
    <s v="Isabela Moreira"/>
    <x v="1"/>
    <d v="2024-03-19T00:00:00"/>
    <x v="1"/>
    <n v="5"/>
    <s v="Monthly"/>
    <s v="No"/>
    <s v="-"/>
    <s v="No"/>
    <n v="0"/>
    <n v="1"/>
    <n v="4"/>
  </r>
  <r>
    <n v="3254"/>
    <s v="Joaquim Barbosa"/>
    <x v="0"/>
    <d v="2024-03-20T00:00:00"/>
    <x v="0"/>
    <n v="15"/>
    <s v="Annual"/>
    <s v="Yes"/>
    <n v="30"/>
    <s v="Yes"/>
    <n v="20"/>
    <n v="20"/>
    <n v="45"/>
  </r>
  <r>
    <n v="3255"/>
    <s v="Lara Rocha"/>
    <x v="2"/>
    <d v="2024-03-21T00:00:00"/>
    <x v="1"/>
    <n v="10"/>
    <s v="Monthly"/>
    <s v="No"/>
    <s v="-"/>
    <s v="Yes"/>
    <n v="20"/>
    <n v="10"/>
    <n v="20"/>
  </r>
  <r>
    <n v="3256"/>
    <s v="Matheus Silva"/>
    <x v="1"/>
    <d v="2024-03-22T00:00:00"/>
    <x v="0"/>
    <n v="5"/>
    <s v="Quarterly"/>
    <s v="No"/>
    <s v="-"/>
    <s v="No"/>
    <n v="0"/>
    <n v="0"/>
    <n v="5"/>
  </r>
  <r>
    <n v="3257"/>
    <s v="Nicole Costa"/>
    <x v="0"/>
    <d v="2024-03-23T00:00:00"/>
    <x v="1"/>
    <n v="15"/>
    <s v="Monthly"/>
    <s v="Yes"/>
    <n v="30"/>
    <s v="Yes"/>
    <n v="20"/>
    <n v="5"/>
    <n v="60"/>
  </r>
  <r>
    <n v="3258"/>
    <s v="Otávio Mendonça"/>
    <x v="2"/>
    <d v="2024-03-24T00:00:00"/>
    <x v="0"/>
    <n v="10"/>
    <s v="Annual"/>
    <s v="No"/>
    <s v="-"/>
    <s v="Yes"/>
    <n v="20"/>
    <n v="15"/>
    <n v="15"/>
  </r>
  <r>
    <n v="3259"/>
    <s v="Paula Ferreira"/>
    <x v="1"/>
    <d v="2024-03-25T00:00:00"/>
    <x v="1"/>
    <n v="5"/>
    <s v="Monthly"/>
    <s v="No"/>
    <s v="-"/>
    <s v="No"/>
    <n v="0"/>
    <n v="1"/>
    <n v="4"/>
  </r>
  <r>
    <n v="3260"/>
    <s v="Raquel Alves"/>
    <x v="0"/>
    <d v="2024-03-26T00:00:00"/>
    <x v="0"/>
    <n v="15"/>
    <s v="Quarterly"/>
    <s v="Yes"/>
    <n v="30"/>
    <s v="Yes"/>
    <n v="20"/>
    <n v="7"/>
    <n v="58"/>
  </r>
  <r>
    <n v="3261"/>
    <s v="Samuel Pires"/>
    <x v="2"/>
    <d v="2024-03-27T00:00:00"/>
    <x v="1"/>
    <n v="10"/>
    <s v="Monthly"/>
    <s v="No"/>
    <s v="-"/>
    <s v="Yes"/>
    <n v="20"/>
    <n v="10"/>
    <n v="20"/>
  </r>
  <r>
    <n v="3262"/>
    <s v="Tânia Barros"/>
    <x v="1"/>
    <d v="2024-03-28T00:00:00"/>
    <x v="0"/>
    <n v="5"/>
    <s v="Annual"/>
    <s v="No"/>
    <s v="-"/>
    <s v="No"/>
    <n v="0"/>
    <n v="0"/>
    <n v="5"/>
  </r>
  <r>
    <n v="3263"/>
    <s v="Vinicius Lima"/>
    <x v="0"/>
    <d v="2024-03-29T00:00:00"/>
    <x v="1"/>
    <n v="15"/>
    <s v="Monthly"/>
    <s v="Yes"/>
    <n v="30"/>
    <s v="Yes"/>
    <n v="20"/>
    <n v="3"/>
    <n v="62"/>
  </r>
  <r>
    <n v="3264"/>
    <s v="Yasmin Teixeira"/>
    <x v="2"/>
    <d v="2024-03-30T00:00:00"/>
    <x v="0"/>
    <n v="10"/>
    <s v="Quarterly"/>
    <s v="No"/>
    <s v="-"/>
    <s v="Yes"/>
    <n v="20"/>
    <n v="15"/>
    <n v="15"/>
  </r>
  <r>
    <n v="3265"/>
    <s v="Zé Carlos"/>
    <x v="1"/>
    <d v="2024-03-31T00:00:00"/>
    <x v="1"/>
    <n v="5"/>
    <s v="Monthly"/>
    <s v="No"/>
    <s v="-"/>
    <s v="No"/>
    <n v="0"/>
    <n v="1"/>
    <n v="4"/>
  </r>
  <r>
    <n v="3266"/>
    <s v="Amanda Nogueira"/>
    <x v="1"/>
    <d v="2024-04-01T00:00:00"/>
    <x v="0"/>
    <n v="5"/>
    <s v="Monthly"/>
    <s v="No"/>
    <s v="-"/>
    <s v="No"/>
    <n v="0"/>
    <n v="0"/>
    <n v="5"/>
  </r>
  <r>
    <n v="3267"/>
    <s v="Bruno Cavalheiro"/>
    <x v="0"/>
    <d v="2024-04-02T00:00:00"/>
    <x v="1"/>
    <n v="15"/>
    <s v="Quarterly"/>
    <s v="Yes"/>
    <n v="30"/>
    <s v="Yes"/>
    <n v="20"/>
    <n v="7"/>
    <n v="58"/>
  </r>
  <r>
    <n v="3268"/>
    <s v="Carla Dias"/>
    <x v="2"/>
    <d v="2024-04-03T00:00:00"/>
    <x v="0"/>
    <n v="10"/>
    <s v="Annual"/>
    <s v="No"/>
    <s v="-"/>
    <s v="Yes"/>
    <n v="20"/>
    <n v="10"/>
    <n v="20"/>
  </r>
  <r>
    <n v="3269"/>
    <s v="Diego Fontes"/>
    <x v="1"/>
    <d v="2024-04-04T00:00:00"/>
    <x v="1"/>
    <n v="5"/>
    <s v="Quarterly"/>
    <s v="No"/>
    <s v="-"/>
    <s v="No"/>
    <n v="0"/>
    <n v="1"/>
    <n v="4"/>
  </r>
  <r>
    <n v="3270"/>
    <s v="Eunice Lima"/>
    <x v="0"/>
    <d v="2024-04-05T00:00:00"/>
    <x v="0"/>
    <n v="15"/>
    <s v="Monthly"/>
    <s v="Yes"/>
    <n v="30"/>
    <s v="Yes"/>
    <n v="20"/>
    <n v="15"/>
    <n v="50"/>
  </r>
  <r>
    <n v="3271"/>
    <s v="Fábio Martins"/>
    <x v="2"/>
    <d v="2024-04-06T00:00:00"/>
    <x v="1"/>
    <n v="10"/>
    <s v="Monthly"/>
    <s v="No"/>
    <s v="-"/>
    <s v="Yes"/>
    <n v="20"/>
    <n v="5"/>
    <n v="25"/>
  </r>
  <r>
    <n v="3272"/>
    <s v="Gisele Araújo"/>
    <x v="1"/>
    <d v="2024-04-07T00:00:00"/>
    <x v="0"/>
    <n v="5"/>
    <s v="Annual"/>
    <s v="No"/>
    <s v="-"/>
    <s v="No"/>
    <n v="0"/>
    <n v="0"/>
    <n v="5"/>
  </r>
  <r>
    <n v="3273"/>
    <s v="Hélio Castro"/>
    <x v="0"/>
    <d v="2024-04-08T00:00:00"/>
    <x v="1"/>
    <n v="15"/>
    <s v="Quarterly"/>
    <s v="Yes"/>
    <n v="30"/>
    <s v="Yes"/>
    <n v="20"/>
    <n v="20"/>
    <n v="45"/>
  </r>
  <r>
    <n v="3274"/>
    <s v="Ingrid Menezes"/>
    <x v="2"/>
    <d v="2024-04-09T00:00:00"/>
    <x v="0"/>
    <n v="10"/>
    <s v="Quarterly"/>
    <s v="No"/>
    <s v="-"/>
    <s v="Yes"/>
    <n v="20"/>
    <n v="12"/>
    <n v="18"/>
  </r>
  <r>
    <n v="3275"/>
    <s v="Jorge Baptista"/>
    <x v="1"/>
    <d v="2024-04-10T00:00:00"/>
    <x v="1"/>
    <n v="5"/>
    <s v="Monthly"/>
    <s v="No"/>
    <s v="-"/>
    <s v="No"/>
    <n v="0"/>
    <n v="2"/>
    <n v="3"/>
  </r>
  <r>
    <n v="3276"/>
    <s v="Kléber Oliveira"/>
    <x v="0"/>
    <d v="2024-04-11T00:00:00"/>
    <x v="0"/>
    <n v="15"/>
    <s v="Annual"/>
    <s v="Yes"/>
    <n v="30"/>
    <s v="Yes"/>
    <n v="20"/>
    <n v="5"/>
    <n v="60"/>
  </r>
  <r>
    <n v="3277"/>
    <s v="Luciana Freitas"/>
    <x v="2"/>
    <d v="2024-04-12T00:00:00"/>
    <x v="1"/>
    <n v="10"/>
    <s v="Monthly"/>
    <s v="No"/>
    <s v="-"/>
    <s v="Yes"/>
    <n v="20"/>
    <n v="10"/>
    <n v="20"/>
  </r>
  <r>
    <n v="3278"/>
    <s v="Márcia Eller"/>
    <x v="1"/>
    <d v="2024-04-13T00:00:00"/>
    <x v="0"/>
    <n v="5"/>
    <s v="Quarterly"/>
    <s v="No"/>
    <s v="-"/>
    <s v="No"/>
    <n v="0"/>
    <n v="0"/>
    <n v="5"/>
  </r>
  <r>
    <n v="3279"/>
    <s v="Nilo Peçanha"/>
    <x v="0"/>
    <d v="2024-04-14T00:00:00"/>
    <x v="1"/>
    <n v="15"/>
    <s v="Monthly"/>
    <s v="Yes"/>
    <n v="30"/>
    <s v="Yes"/>
    <n v="20"/>
    <n v="3"/>
    <n v="62"/>
  </r>
  <r>
    <n v="3280"/>
    <s v="Oscar Neves"/>
    <x v="2"/>
    <d v="2024-04-15T00:00:00"/>
    <x v="0"/>
    <n v="10"/>
    <s v="Annual"/>
    <s v="No"/>
    <s v="-"/>
    <s v="Yes"/>
    <n v="20"/>
    <n v="15"/>
    <n v="15"/>
  </r>
  <r>
    <n v="3281"/>
    <s v="Patrícia Soares"/>
    <x v="1"/>
    <d v="2024-04-16T00:00:00"/>
    <x v="1"/>
    <n v="5"/>
    <s v="Monthly"/>
    <s v="No"/>
    <s v="-"/>
    <s v="No"/>
    <n v="0"/>
    <n v="1"/>
    <n v="4"/>
  </r>
  <r>
    <n v="3282"/>
    <s v="Quirino Gonçalves"/>
    <x v="0"/>
    <d v="2024-04-17T00:00:00"/>
    <x v="0"/>
    <n v="15"/>
    <s v="Quarterly"/>
    <s v="Yes"/>
    <n v="30"/>
    <s v="Yes"/>
    <n v="20"/>
    <n v="7"/>
    <n v="58"/>
  </r>
  <r>
    <n v="3283"/>
    <s v="Raul Machado"/>
    <x v="2"/>
    <d v="2024-04-18T00:00:00"/>
    <x v="1"/>
    <n v="10"/>
    <s v="Monthly"/>
    <s v="No"/>
    <s v="-"/>
    <s v="Yes"/>
    <n v="20"/>
    <n v="10"/>
    <n v="20"/>
  </r>
  <r>
    <n v="3284"/>
    <s v="Sônia Lobo"/>
    <x v="1"/>
    <d v="2024-04-19T00:00:00"/>
    <x v="0"/>
    <n v="5"/>
    <s v="Annual"/>
    <s v="No"/>
    <s v="-"/>
    <s v="No"/>
    <n v="0"/>
    <n v="0"/>
    <n v="5"/>
  </r>
  <r>
    <n v="3285"/>
    <s v="Tiago Ramos"/>
    <x v="0"/>
    <d v="2024-04-20T00:00:00"/>
    <x v="1"/>
    <n v="15"/>
    <s v="Monthly"/>
    <s v="Yes"/>
    <n v="30"/>
    <s v="Yes"/>
    <n v="20"/>
    <n v="20"/>
    <n v="45"/>
  </r>
  <r>
    <n v="3286"/>
    <s v="Ugo Pires"/>
    <x v="2"/>
    <d v="2024-04-21T00:00:00"/>
    <x v="0"/>
    <n v="10"/>
    <s v="Quarterly"/>
    <s v="No"/>
    <s v="-"/>
    <s v="Yes"/>
    <n v="20"/>
    <n v="15"/>
    <n v="15"/>
  </r>
  <r>
    <n v="3287"/>
    <s v="Valéria Nobre"/>
    <x v="1"/>
    <d v="2024-04-22T00:00:00"/>
    <x v="1"/>
    <n v="5"/>
    <s v="Monthly"/>
    <s v="No"/>
    <s v="-"/>
    <s v="No"/>
    <n v="0"/>
    <n v="1"/>
    <n v="4"/>
  </r>
  <r>
    <n v="3288"/>
    <s v="William Siqueira"/>
    <x v="0"/>
    <d v="2024-04-23T00:00:00"/>
    <x v="0"/>
    <n v="15"/>
    <s v="Annual"/>
    <s v="Yes"/>
    <n v="30"/>
    <s v="Yes"/>
    <n v="20"/>
    <n v="3"/>
    <n v="62"/>
  </r>
  <r>
    <n v="3289"/>
    <s v="Xuxa Meneghel"/>
    <x v="2"/>
    <d v="2024-04-24T00:00:00"/>
    <x v="1"/>
    <n v="10"/>
    <s v="Monthly"/>
    <s v="No"/>
    <s v="-"/>
    <s v="Yes"/>
    <n v="20"/>
    <n v="10"/>
    <n v="20"/>
  </r>
  <r>
    <n v="3290"/>
    <s v="Yara Figueiredo"/>
    <x v="1"/>
    <d v="2024-04-25T00:00:00"/>
    <x v="0"/>
    <n v="5"/>
    <s v="Quarterly"/>
    <s v="No"/>
    <s v="-"/>
    <s v="No"/>
    <n v="0"/>
    <n v="0"/>
    <n v="5"/>
  </r>
  <r>
    <n v="3291"/>
    <s v="Zacarias Alves"/>
    <x v="0"/>
    <d v="2024-04-26T00:00:00"/>
    <x v="1"/>
    <n v="15"/>
    <s v="Monthly"/>
    <s v="Yes"/>
    <n v="30"/>
    <s v="Yes"/>
    <n v="20"/>
    <n v="5"/>
    <n v="60"/>
  </r>
  <r>
    <n v="3292"/>
    <s v="Amanda Bynes"/>
    <x v="2"/>
    <d v="2024-04-27T00:00:00"/>
    <x v="0"/>
    <n v="10"/>
    <s v="Annual"/>
    <s v="No"/>
    <s v="-"/>
    <s v="Yes"/>
    <n v="20"/>
    <n v="15"/>
    <n v="15"/>
  </r>
  <r>
    <n v="3293"/>
    <s v="Bruno Mars"/>
    <x v="1"/>
    <d v="2024-04-28T00:00:00"/>
    <x v="1"/>
    <n v="5"/>
    <s v="Monthly"/>
    <s v="No"/>
    <s v="-"/>
    <s v="No"/>
    <n v="0"/>
    <n v="1"/>
    <n v="4"/>
  </r>
  <r>
    <n v="3294"/>
    <s v="Carla Bruni"/>
    <x v="0"/>
    <d v="2024-04-29T00:00:00"/>
    <x v="0"/>
    <n v="15"/>
    <s v="Quarterly"/>
    <s v="Yes"/>
    <n v="30"/>
    <s v="Yes"/>
    <n v="20"/>
    <n v="20"/>
    <n v="45"/>
  </r>
  <r>
    <n v="3295"/>
    <s v="Diego Maradona"/>
    <x v="2"/>
    <d v="2024-04-30T00:00:00"/>
    <x v="1"/>
    <n v="10"/>
    <s v="Monthly"/>
    <s v="No"/>
    <s v="-"/>
    <s v="Yes"/>
    <n v="20"/>
    <n v="5"/>
    <n v="25"/>
  </r>
  <r>
    <n v="3296"/>
    <s v="Estela Marques"/>
    <x v="1"/>
    <d v="2024-05-01T00:00:00"/>
    <x v="1"/>
    <n v="5"/>
    <s v="Monthly"/>
    <s v="No"/>
    <s v="-"/>
    <s v="No"/>
    <n v="0"/>
    <n v="0"/>
    <n v="5"/>
  </r>
  <r>
    <n v="3297"/>
    <s v="Fábio Nobre"/>
    <x v="0"/>
    <d v="2024-05-02T00:00:00"/>
    <x v="0"/>
    <n v="15"/>
    <s v="Quarterly"/>
    <s v="Yes"/>
    <n v="30"/>
    <s v="Yes"/>
    <n v="20"/>
    <n v="7"/>
    <n v="58"/>
  </r>
  <r>
    <n v="3298"/>
    <s v="Gabriel Oliveira"/>
    <x v="2"/>
    <d v="2024-05-03T00:00:00"/>
    <x v="1"/>
    <n v="10"/>
    <s v="Annual"/>
    <s v="No"/>
    <s v="-"/>
    <s v="Yes"/>
    <n v="20"/>
    <n v="10"/>
    <n v="20"/>
  </r>
  <r>
    <n v="3299"/>
    <s v="Helena Santos"/>
    <x v="1"/>
    <d v="2024-05-04T00:00:00"/>
    <x v="0"/>
    <n v="5"/>
    <s v="Quarterly"/>
    <s v="No"/>
    <s v="-"/>
    <s v="No"/>
    <n v="0"/>
    <n v="1"/>
    <n v="4"/>
  </r>
  <r>
    <n v="3300"/>
    <s v="Ivan Carvalho"/>
    <x v="0"/>
    <d v="2024-05-05T00:00:00"/>
    <x v="1"/>
    <n v="15"/>
    <s v="Monthly"/>
    <s v="Yes"/>
    <n v="30"/>
    <s v="Yes"/>
    <n v="20"/>
    <n v="15"/>
    <n v="50"/>
  </r>
  <r>
    <n v="3301"/>
    <s v="Júlia Ferreira"/>
    <x v="2"/>
    <d v="2024-05-06T00:00:00"/>
    <x v="0"/>
    <n v="10"/>
    <s v="Monthly"/>
    <s v="No"/>
    <s v="-"/>
    <s v="Yes"/>
    <n v="20"/>
    <n v="5"/>
    <n v="25"/>
  </r>
  <r>
    <n v="3302"/>
    <s v="Karla Alves"/>
    <x v="1"/>
    <d v="2024-05-07T00:00:00"/>
    <x v="1"/>
    <n v="5"/>
    <s v="Annual"/>
    <s v="No"/>
    <s v="-"/>
    <s v="No"/>
    <n v="0"/>
    <n v="0"/>
    <n v="5"/>
  </r>
  <r>
    <n v="3303"/>
    <s v="Lucas Mendes"/>
    <x v="0"/>
    <d v="2024-05-08T00:00:00"/>
    <x v="0"/>
    <n v="15"/>
    <s v="Quarterly"/>
    <s v="Yes"/>
    <n v="30"/>
    <s v="Yes"/>
    <n v="20"/>
    <n v="20"/>
    <n v="45"/>
  </r>
  <r>
    <n v="3304"/>
    <s v="Mônica Gomes"/>
    <x v="2"/>
    <d v="2024-05-09T00:00:00"/>
    <x v="1"/>
    <n v="10"/>
    <s v="Quarterly"/>
    <s v="No"/>
    <s v="-"/>
    <s v="Yes"/>
    <n v="20"/>
    <n v="12"/>
    <n v="18"/>
  </r>
  <r>
    <n v="3305"/>
    <s v="Norberto Queiroz"/>
    <x v="1"/>
    <d v="2024-05-10T00:00:00"/>
    <x v="0"/>
    <n v="5"/>
    <s v="Monthly"/>
    <s v="No"/>
    <s v="-"/>
    <s v="No"/>
    <n v="0"/>
    <n v="2"/>
    <n v="3"/>
  </r>
  <r>
    <n v="3306"/>
    <s v="Otávio Barros"/>
    <x v="0"/>
    <d v="2024-05-11T00:00:00"/>
    <x v="1"/>
    <n v="15"/>
    <s v="Annual"/>
    <s v="Yes"/>
    <n v="30"/>
    <s v="Yes"/>
    <n v="20"/>
    <n v="5"/>
    <n v="60"/>
  </r>
  <r>
    <n v="3307"/>
    <s v="Paula Vieira"/>
    <x v="2"/>
    <d v="2024-05-12T00:00:00"/>
    <x v="0"/>
    <n v="10"/>
    <s v="Monthly"/>
    <s v="No"/>
    <s v="-"/>
    <s v="Yes"/>
    <n v="20"/>
    <n v="10"/>
    <n v="20"/>
  </r>
  <r>
    <n v="3308"/>
    <s v="Quentin Ramos"/>
    <x v="1"/>
    <d v="2024-05-13T00:00:00"/>
    <x v="1"/>
    <n v="5"/>
    <s v="Quarterly"/>
    <s v="No"/>
    <s v="-"/>
    <s v="No"/>
    <n v="0"/>
    <n v="0"/>
    <n v="5"/>
  </r>
  <r>
    <n v="3309"/>
    <s v="Raquel Novaes"/>
    <x v="0"/>
    <d v="2024-05-14T00:00:00"/>
    <x v="0"/>
    <n v="15"/>
    <s v="Monthly"/>
    <s v="Yes"/>
    <n v="30"/>
    <s v="Yes"/>
    <n v="20"/>
    <n v="3"/>
    <n v="62"/>
  </r>
  <r>
    <n v="3310"/>
    <s v="Samantha Lopes"/>
    <x v="2"/>
    <d v="2024-05-15T00:00:00"/>
    <x v="1"/>
    <n v="10"/>
    <s v="Annual"/>
    <s v="No"/>
    <s v="-"/>
    <s v="Yes"/>
    <n v="20"/>
    <n v="15"/>
    <n v="15"/>
  </r>
  <r>
    <n v="3311"/>
    <s v="Tiago Martins"/>
    <x v="1"/>
    <d v="2024-05-16T00:00:00"/>
    <x v="0"/>
    <n v="5"/>
    <s v="Monthly"/>
    <s v="No"/>
    <s v="-"/>
    <s v="No"/>
    <n v="0"/>
    <n v="1"/>
    <n v="4"/>
  </r>
  <r>
    <n v="3312"/>
    <s v="Ulysses Guimarães"/>
    <x v="0"/>
    <d v="2024-05-17T00:00:00"/>
    <x v="1"/>
    <n v="15"/>
    <s v="Quarterly"/>
    <s v="Yes"/>
    <n v="30"/>
    <s v="Yes"/>
    <n v="20"/>
    <n v="7"/>
    <n v="58"/>
  </r>
  <r>
    <n v="3313"/>
    <s v="Vanessa Silva"/>
    <x v="2"/>
    <d v="2024-05-18T00:00:00"/>
    <x v="0"/>
    <n v="10"/>
    <s v="Monthly"/>
    <s v="No"/>
    <s v="-"/>
    <s v="Yes"/>
    <n v="20"/>
    <n v="10"/>
    <n v="20"/>
  </r>
  <r>
    <n v="3314"/>
    <s v="William Carneiro"/>
    <x v="1"/>
    <d v="2024-05-19T00:00:00"/>
    <x v="1"/>
    <n v="5"/>
    <s v="Annual"/>
    <s v="No"/>
    <s v="-"/>
    <s v="No"/>
    <n v="0"/>
    <n v="0"/>
    <n v="5"/>
  </r>
  <r>
    <n v="3315"/>
    <s v="Ximena Rocha"/>
    <x v="0"/>
    <d v="2024-05-20T00:00:00"/>
    <x v="0"/>
    <n v="15"/>
    <s v="Monthly"/>
    <s v="Yes"/>
    <n v="30"/>
    <s v="Yes"/>
    <n v="20"/>
    <n v="20"/>
    <n v="45"/>
  </r>
  <r>
    <n v="3316"/>
    <s v="Yasmin Figueiredo"/>
    <x v="2"/>
    <d v="2024-05-21T00:00:00"/>
    <x v="1"/>
    <n v="10"/>
    <s v="Quarterly"/>
    <s v="No"/>
    <s v="-"/>
    <s v="Yes"/>
    <n v="20"/>
    <n v="15"/>
    <n v="15"/>
  </r>
  <r>
    <n v="3317"/>
    <s v="Zara Cunha"/>
    <x v="1"/>
    <d v="2024-05-22T00:00:00"/>
    <x v="0"/>
    <n v="5"/>
    <s v="Monthly"/>
    <s v="No"/>
    <s v="-"/>
    <s v="No"/>
    <n v="0"/>
    <n v="1"/>
    <n v="4"/>
  </r>
  <r>
    <n v="3318"/>
    <s v="Alan Teixeira"/>
    <x v="0"/>
    <d v="2024-05-23T00:00:00"/>
    <x v="1"/>
    <n v="15"/>
    <s v="Annual"/>
    <s v="Yes"/>
    <n v="30"/>
    <s v="Yes"/>
    <n v="20"/>
    <n v="3"/>
    <n v="62"/>
  </r>
  <r>
    <n v="3319"/>
    <s v="Bárbara Oliveira"/>
    <x v="2"/>
    <d v="2024-05-24T00:00:00"/>
    <x v="0"/>
    <n v="10"/>
    <s v="Monthly"/>
    <s v="No"/>
    <s v="-"/>
    <s v="Yes"/>
    <n v="20"/>
    <n v="10"/>
    <n v="20"/>
  </r>
  <r>
    <n v="3320"/>
    <s v="Carlos Junqueira"/>
    <x v="1"/>
    <d v="2024-05-25T00:00:00"/>
    <x v="1"/>
    <n v="5"/>
    <s v="Quarterly"/>
    <s v="No"/>
    <s v="-"/>
    <s v="No"/>
    <n v="0"/>
    <n v="0"/>
    <n v="5"/>
  </r>
  <r>
    <n v="3321"/>
    <s v="Daniela Moura"/>
    <x v="0"/>
    <d v="2024-05-26T00:00:00"/>
    <x v="0"/>
    <n v="15"/>
    <s v="Monthly"/>
    <s v="Yes"/>
    <n v="30"/>
    <s v="Yes"/>
    <n v="20"/>
    <n v="5"/>
    <n v="60"/>
  </r>
  <r>
    <n v="3322"/>
    <s v="Eduardo Lima"/>
    <x v="2"/>
    <d v="2024-05-27T00:00:00"/>
    <x v="1"/>
    <n v="10"/>
    <s v="Annual"/>
    <s v="No"/>
    <s v="-"/>
    <s v="Yes"/>
    <n v="20"/>
    <n v="15"/>
    <n v="15"/>
  </r>
  <r>
    <n v="3323"/>
    <s v="Fabiana Araújo"/>
    <x v="1"/>
    <d v="2024-05-28T00:00:00"/>
    <x v="0"/>
    <n v="5"/>
    <s v="Monthly"/>
    <s v="No"/>
    <s v="-"/>
    <s v="No"/>
    <n v="0"/>
    <n v="1"/>
    <n v="4"/>
  </r>
  <r>
    <n v="3324"/>
    <s v="Geraldo Ribeiro"/>
    <x v="0"/>
    <d v="2024-05-29T00:00:00"/>
    <x v="1"/>
    <n v="15"/>
    <s v="Quarterly"/>
    <s v="Yes"/>
    <n v="30"/>
    <s v="Yes"/>
    <n v="20"/>
    <n v="20"/>
    <n v="45"/>
  </r>
  <r>
    <n v="3325"/>
    <s v="Héctor Vargas"/>
    <x v="2"/>
    <d v="2024-05-30T00:00:00"/>
    <x v="0"/>
    <n v="10"/>
    <s v="Quarterly"/>
    <s v="No"/>
    <s v="-"/>
    <s v="Yes"/>
    <n v="20"/>
    <n v="15"/>
    <n v="15"/>
  </r>
  <r>
    <n v="3326"/>
    <s v="Isabela Fonseca"/>
    <x v="1"/>
    <d v="2024-05-31T00:00:00"/>
    <x v="1"/>
    <n v="5"/>
    <s v="Annual"/>
    <s v="No"/>
    <s v="-"/>
    <s v="No"/>
    <n v="0"/>
    <n v="0"/>
    <n v="5"/>
  </r>
  <r>
    <n v="3327"/>
    <s v="João Pedro Almeida"/>
    <x v="0"/>
    <d v="2024-06-01T00:00:00"/>
    <x v="0"/>
    <n v="15"/>
    <s v="Monthly"/>
    <s v="Yes"/>
    <n v="30"/>
    <s v="Yes"/>
    <n v="20"/>
    <n v="7"/>
    <n v="58"/>
  </r>
  <r>
    <n v="3328"/>
    <s v="Klara Costa"/>
    <x v="2"/>
    <d v="2024-06-02T00:00:00"/>
    <x v="1"/>
    <n v="10"/>
    <s v="Annual"/>
    <s v="No"/>
    <s v="-"/>
    <s v="Yes"/>
    <n v="20"/>
    <n v="10"/>
    <n v="20"/>
  </r>
  <r>
    <n v="3329"/>
    <s v="Luciana Mendes"/>
    <x v="1"/>
    <d v="2024-06-03T00:00:00"/>
    <x v="0"/>
    <n v="5"/>
    <s v="Quarterly"/>
    <s v="No"/>
    <s v="-"/>
    <s v="No"/>
    <n v="0"/>
    <n v="1"/>
    <n v="4"/>
  </r>
  <r>
    <n v="3330"/>
    <s v="Marcelo Gouveia"/>
    <x v="0"/>
    <d v="2024-06-04T00:00:00"/>
    <x v="1"/>
    <n v="15"/>
    <s v="Monthly"/>
    <s v="Yes"/>
    <n v="30"/>
    <s v="Yes"/>
    <n v="20"/>
    <n v="15"/>
    <n v="50"/>
  </r>
  <r>
    <n v="3331"/>
    <s v="Nívea Borges"/>
    <x v="2"/>
    <d v="2024-06-05T00:00:00"/>
    <x v="0"/>
    <n v="10"/>
    <s v="Monthly"/>
    <s v="No"/>
    <s v="-"/>
    <s v="Yes"/>
    <n v="20"/>
    <n v="5"/>
    <n v="25"/>
  </r>
  <r>
    <n v="3332"/>
    <s v="Oscar Nogueira"/>
    <x v="1"/>
    <d v="2024-06-06T00:00:00"/>
    <x v="1"/>
    <n v="5"/>
    <s v="Annual"/>
    <s v="No"/>
    <s v="-"/>
    <s v="No"/>
    <n v="0"/>
    <n v="0"/>
    <n v="5"/>
  </r>
  <r>
    <n v="3333"/>
    <s v="Patrícia Alves"/>
    <x v="0"/>
    <d v="2024-06-07T00:00:00"/>
    <x v="0"/>
    <n v="15"/>
    <s v="Quarterly"/>
    <s v="Yes"/>
    <n v="30"/>
    <s v="Yes"/>
    <n v="20"/>
    <n v="20"/>
    <n v="45"/>
  </r>
  <r>
    <n v="3334"/>
    <s v="Rafaela Silva"/>
    <x v="2"/>
    <d v="2024-06-08T00:00:00"/>
    <x v="1"/>
    <n v="10"/>
    <s v="Quarterly"/>
    <s v="No"/>
    <s v="-"/>
    <s v="Yes"/>
    <n v="20"/>
    <n v="12"/>
    <n v="18"/>
  </r>
  <r>
    <n v="3335"/>
    <s v="Samantha Moraes"/>
    <x v="1"/>
    <d v="2024-06-09T00:00:00"/>
    <x v="0"/>
    <n v="5"/>
    <s v="Monthly"/>
    <s v="No"/>
    <s v="-"/>
    <s v="No"/>
    <n v="0"/>
    <n v="2"/>
    <n v="3"/>
  </r>
  <r>
    <n v="3336"/>
    <s v="Tatiana Rocha"/>
    <x v="1"/>
    <d v="2024-06-10T00:00:00"/>
    <x v="0"/>
    <n v="5"/>
    <s v="Monthly"/>
    <s v="No"/>
    <s v="-"/>
    <s v="No"/>
    <n v="0"/>
    <n v="0"/>
    <n v="5"/>
  </r>
  <r>
    <n v="3337"/>
    <s v="Ulisses Tavares"/>
    <x v="0"/>
    <d v="2024-06-11T00:00:00"/>
    <x v="1"/>
    <n v="15"/>
    <s v="Quarterly"/>
    <s v="Yes"/>
    <n v="30"/>
    <s v="Yes"/>
    <n v="20"/>
    <n v="7"/>
    <n v="58"/>
  </r>
  <r>
    <n v="3338"/>
    <s v="Víctor Lemos"/>
    <x v="2"/>
    <d v="2024-06-12T00:00:00"/>
    <x v="0"/>
    <n v="10"/>
    <s v="Annual"/>
    <s v="No"/>
    <s v="-"/>
    <s v="Yes"/>
    <n v="20"/>
    <n v="10"/>
    <n v="20"/>
  </r>
  <r>
    <n v="3339"/>
    <s v="Wilma Barros"/>
    <x v="1"/>
    <d v="2024-06-13T00:00:00"/>
    <x v="1"/>
    <n v="5"/>
    <s v="Quarterly"/>
    <s v="No"/>
    <s v="-"/>
    <s v="No"/>
    <n v="0"/>
    <n v="1"/>
    <n v="4"/>
  </r>
  <r>
    <n v="3340"/>
    <s v="Xavier Nascimento"/>
    <x v="0"/>
    <d v="2024-06-14T00:00:00"/>
    <x v="0"/>
    <n v="15"/>
    <s v="Monthly"/>
    <s v="Yes"/>
    <n v="30"/>
    <s v="Yes"/>
    <n v="20"/>
    <n v="15"/>
    <n v="50"/>
  </r>
  <r>
    <n v="3341"/>
    <s v="Yago Pereira"/>
    <x v="2"/>
    <d v="2024-06-15T00:00:00"/>
    <x v="1"/>
    <n v="10"/>
    <s v="Monthly"/>
    <s v="No"/>
    <s v="-"/>
    <s v="Yes"/>
    <n v="20"/>
    <n v="5"/>
    <n v="25"/>
  </r>
  <r>
    <n v="3342"/>
    <s v="Zilda Ferreira"/>
    <x v="1"/>
    <d v="2024-06-16T00:00:00"/>
    <x v="0"/>
    <n v="5"/>
    <s v="Annual"/>
    <s v="No"/>
    <s v="-"/>
    <s v="No"/>
    <n v="0"/>
    <n v="0"/>
    <n v="5"/>
  </r>
  <r>
    <n v="3343"/>
    <s v="Amanda Lopes"/>
    <x v="0"/>
    <d v="2024-06-17T00:00:00"/>
    <x v="1"/>
    <n v="15"/>
    <s v="Quarterly"/>
    <s v="Yes"/>
    <n v="30"/>
    <s v="Yes"/>
    <n v="20"/>
    <n v="20"/>
    <n v="45"/>
  </r>
  <r>
    <n v="3344"/>
    <s v="Bruno Miranda"/>
    <x v="2"/>
    <d v="2024-06-18T00:00:00"/>
    <x v="0"/>
    <n v="10"/>
    <s v="Quarterly"/>
    <s v="No"/>
    <s v="-"/>
    <s v="Yes"/>
    <n v="20"/>
    <n v="12"/>
    <n v="18"/>
  </r>
  <r>
    <n v="3345"/>
    <s v="Célia Torres"/>
    <x v="1"/>
    <d v="2024-06-19T00:00:00"/>
    <x v="1"/>
    <n v="5"/>
    <s v="Monthly"/>
    <s v="No"/>
    <s v="-"/>
    <s v="No"/>
    <n v="0"/>
    <n v="2"/>
    <n v="3"/>
  </r>
  <r>
    <n v="3346"/>
    <s v="Diogo Souza"/>
    <x v="0"/>
    <d v="2024-06-20T00:00:00"/>
    <x v="0"/>
    <n v="15"/>
    <s v="Annual"/>
    <s v="Yes"/>
    <n v="30"/>
    <s v="Yes"/>
    <n v="20"/>
    <n v="5"/>
    <n v="60"/>
  </r>
  <r>
    <n v="3347"/>
    <s v="Elisa Castro"/>
    <x v="2"/>
    <d v="2024-06-21T00:00:00"/>
    <x v="1"/>
    <n v="10"/>
    <s v="Monthly"/>
    <s v="No"/>
    <s v="-"/>
    <s v="Yes"/>
    <n v="20"/>
    <n v="10"/>
    <n v="20"/>
  </r>
  <r>
    <n v="3348"/>
    <s v="Fátima Lima"/>
    <x v="1"/>
    <d v="2024-06-22T00:00:00"/>
    <x v="0"/>
    <n v="5"/>
    <s v="Quarterly"/>
    <s v="No"/>
    <s v="-"/>
    <s v="No"/>
    <n v="0"/>
    <n v="0"/>
    <n v="5"/>
  </r>
  <r>
    <n v="3349"/>
    <s v="Geraldo Ribeiro"/>
    <x v="0"/>
    <d v="2024-06-23T00:00:00"/>
    <x v="1"/>
    <n v="15"/>
    <s v="Monthly"/>
    <s v="Yes"/>
    <n v="30"/>
    <s v="Yes"/>
    <n v="20"/>
    <n v="3"/>
    <n v="62"/>
  </r>
  <r>
    <n v="3350"/>
    <s v="Hélio Martins"/>
    <x v="2"/>
    <d v="2024-06-24T00:00:00"/>
    <x v="0"/>
    <n v="10"/>
    <s v="Annual"/>
    <s v="No"/>
    <s v="-"/>
    <s v="Yes"/>
    <n v="20"/>
    <n v="15"/>
    <n v="15"/>
  </r>
  <r>
    <n v="3351"/>
    <s v="Íris Santos"/>
    <x v="1"/>
    <d v="2024-06-25T00:00:00"/>
    <x v="1"/>
    <n v="5"/>
    <s v="Monthly"/>
    <s v="No"/>
    <s v="-"/>
    <s v="No"/>
    <n v="0"/>
    <n v="1"/>
    <n v="4"/>
  </r>
  <r>
    <n v="3352"/>
    <s v="João Marcelo"/>
    <x v="0"/>
    <d v="2024-06-26T00:00:00"/>
    <x v="0"/>
    <n v="15"/>
    <s v="Quarterly"/>
    <s v="Yes"/>
    <n v="30"/>
    <s v="Yes"/>
    <n v="20"/>
    <n v="7"/>
    <n v="58"/>
  </r>
  <r>
    <n v="3353"/>
    <s v="Larissa Gomes"/>
    <x v="2"/>
    <d v="2024-06-27T00:00:00"/>
    <x v="1"/>
    <n v="10"/>
    <s v="Monthly"/>
    <s v="No"/>
    <s v="-"/>
    <s v="Yes"/>
    <n v="20"/>
    <n v="10"/>
    <n v="20"/>
  </r>
  <r>
    <n v="3354"/>
    <s v="Márcio Silva"/>
    <x v="1"/>
    <d v="2024-06-28T00:00:00"/>
    <x v="0"/>
    <n v="5"/>
    <s v="Annual"/>
    <s v="No"/>
    <s v="-"/>
    <s v="No"/>
    <n v="0"/>
    <n v="0"/>
    <n v="5"/>
  </r>
  <r>
    <n v="3355"/>
    <s v="Nadia Costa"/>
    <x v="0"/>
    <d v="2024-06-29T00:00:00"/>
    <x v="1"/>
    <n v="15"/>
    <s v="Monthly"/>
    <s v="Yes"/>
    <n v="30"/>
    <s v="Yes"/>
    <n v="20"/>
    <n v="20"/>
    <n v="45"/>
  </r>
  <r>
    <n v="3356"/>
    <s v="Oscar Almeida"/>
    <x v="2"/>
    <d v="2024-06-30T00:00:00"/>
    <x v="0"/>
    <n v="10"/>
    <s v="Quarterly"/>
    <s v="No"/>
    <s v="-"/>
    <s v="Yes"/>
    <n v="20"/>
    <n v="15"/>
    <n v="15"/>
  </r>
  <r>
    <n v="3357"/>
    <s v="Patricia Soares"/>
    <x v="1"/>
    <d v="2024-07-01T00:00:00"/>
    <x v="1"/>
    <n v="5"/>
    <s v="Monthly"/>
    <s v="No"/>
    <s v="-"/>
    <s v="No"/>
    <n v="0"/>
    <n v="1"/>
    <n v="4"/>
  </r>
  <r>
    <n v="3358"/>
    <s v="Quênia Barros"/>
    <x v="0"/>
    <d v="2024-07-02T00:00:00"/>
    <x v="0"/>
    <n v="15"/>
    <s v="Annual"/>
    <s v="Yes"/>
    <n v="30"/>
    <s v="Yes"/>
    <n v="20"/>
    <n v="3"/>
    <n v="62"/>
  </r>
  <r>
    <n v="3359"/>
    <s v="Rafael Torres"/>
    <x v="2"/>
    <d v="2024-07-03T00:00:00"/>
    <x v="1"/>
    <n v="10"/>
    <s v="Monthly"/>
    <s v="No"/>
    <s v="-"/>
    <s v="Yes"/>
    <n v="20"/>
    <n v="10"/>
    <n v="20"/>
  </r>
  <r>
    <n v="3360"/>
    <s v="Silvia Nascimento"/>
    <x v="1"/>
    <d v="2024-07-04T00:00:00"/>
    <x v="0"/>
    <n v="5"/>
    <s v="Quarterly"/>
    <s v="No"/>
    <s v="-"/>
    <s v="No"/>
    <n v="0"/>
    <n v="0"/>
    <n v="5"/>
  </r>
  <r>
    <n v="3361"/>
    <s v="Tiago Mendes"/>
    <x v="0"/>
    <d v="2024-07-05T00:00:00"/>
    <x v="1"/>
    <n v="15"/>
    <s v="Monthly"/>
    <s v="Yes"/>
    <n v="30"/>
    <s v="Yes"/>
    <n v="20"/>
    <n v="15"/>
    <n v="50"/>
  </r>
  <r>
    <n v="3362"/>
    <s v="Ursula Silva"/>
    <x v="2"/>
    <d v="2024-07-06T00:00:00"/>
    <x v="0"/>
    <n v="10"/>
    <s v="Annual"/>
    <s v="No"/>
    <s v="-"/>
    <s v="Yes"/>
    <n v="20"/>
    <n v="15"/>
    <n v="15"/>
  </r>
  <r>
    <n v="3363"/>
    <s v="Vanessa Moraes"/>
    <x v="1"/>
    <d v="2024-07-07T00:00:00"/>
    <x v="1"/>
    <n v="5"/>
    <s v="Monthly"/>
    <s v="No"/>
    <s v="-"/>
    <s v="No"/>
    <n v="0"/>
    <n v="1"/>
    <n v="4"/>
  </r>
  <r>
    <n v="3364"/>
    <s v="Waldir Junior"/>
    <x v="0"/>
    <d v="2024-07-08T00:00:00"/>
    <x v="0"/>
    <n v="15"/>
    <s v="Quarterly"/>
    <s v="Yes"/>
    <n v="30"/>
    <s v="Yes"/>
    <n v="20"/>
    <n v="7"/>
    <n v="58"/>
  </r>
  <r>
    <n v="3365"/>
    <s v="Xavier Lopes"/>
    <x v="2"/>
    <d v="2024-07-09T00:00:00"/>
    <x v="1"/>
    <n v="10"/>
    <s v="Monthly"/>
    <s v="No"/>
    <s v="-"/>
    <s v="Yes"/>
    <n v="20"/>
    <n v="10"/>
    <n v="20"/>
  </r>
  <r>
    <n v="3366"/>
    <s v="Yolanda Freitas"/>
    <x v="1"/>
    <d v="2024-07-10T00:00:00"/>
    <x v="0"/>
    <n v="5"/>
    <s v="Monthly"/>
    <s v="No"/>
    <s v="-"/>
    <s v="No"/>
    <n v="0"/>
    <n v="0"/>
    <n v="5"/>
  </r>
  <r>
    <n v="3367"/>
    <s v="Zacarias Nunes"/>
    <x v="0"/>
    <d v="2024-07-11T00:00:00"/>
    <x v="1"/>
    <n v="15"/>
    <s v="Quarterly"/>
    <s v="Yes"/>
    <n v="30"/>
    <s v="Yes"/>
    <n v="20"/>
    <n v="7"/>
    <n v="58"/>
  </r>
  <r>
    <n v="3368"/>
    <s v="Ana Clara Barreto"/>
    <x v="2"/>
    <d v="2024-07-12T00:00:00"/>
    <x v="0"/>
    <n v="10"/>
    <s v="Annual"/>
    <s v="No"/>
    <s v="-"/>
    <s v="Yes"/>
    <n v="20"/>
    <n v="10"/>
    <n v="20"/>
  </r>
  <r>
    <n v="3369"/>
    <s v="Bruno Henrique"/>
    <x v="1"/>
    <d v="2024-07-13T00:00:00"/>
    <x v="1"/>
    <n v="5"/>
    <s v="Quarterly"/>
    <s v="No"/>
    <s v="-"/>
    <s v="No"/>
    <n v="0"/>
    <n v="1"/>
    <n v="4"/>
  </r>
  <r>
    <n v="3370"/>
    <s v="Carlos Eduardo"/>
    <x v="0"/>
    <d v="2024-07-14T00:00:00"/>
    <x v="0"/>
    <n v="15"/>
    <s v="Monthly"/>
    <s v="Yes"/>
    <n v="30"/>
    <s v="Yes"/>
    <n v="20"/>
    <n v="15"/>
    <n v="50"/>
  </r>
  <r>
    <n v="3371"/>
    <s v="Débora Lima"/>
    <x v="2"/>
    <d v="2024-07-15T00:00:00"/>
    <x v="1"/>
    <n v="10"/>
    <s v="Monthly"/>
    <s v="No"/>
    <s v="-"/>
    <s v="Yes"/>
    <n v="20"/>
    <n v="5"/>
    <n v="25"/>
  </r>
  <r>
    <n v="3372"/>
    <s v="Elisa Neves"/>
    <x v="1"/>
    <d v="2024-07-16T00:00:00"/>
    <x v="0"/>
    <n v="5"/>
    <s v="Annual"/>
    <s v="No"/>
    <s v="-"/>
    <s v="No"/>
    <n v="0"/>
    <n v="0"/>
    <n v="5"/>
  </r>
  <r>
    <n v="3373"/>
    <s v="Fabiano Gomes"/>
    <x v="0"/>
    <d v="2024-07-17T00:00:00"/>
    <x v="1"/>
    <n v="15"/>
    <s v="Quarterly"/>
    <s v="Yes"/>
    <n v="30"/>
    <s v="Yes"/>
    <n v="20"/>
    <n v="20"/>
    <n v="45"/>
  </r>
  <r>
    <n v="3374"/>
    <s v="Gisele Oliveira"/>
    <x v="2"/>
    <d v="2024-07-18T00:00:00"/>
    <x v="0"/>
    <n v="10"/>
    <s v="Quarterly"/>
    <s v="No"/>
    <s v="-"/>
    <s v="Yes"/>
    <n v="20"/>
    <n v="12"/>
    <n v="18"/>
  </r>
  <r>
    <n v="3375"/>
    <s v="Héctor Silva"/>
    <x v="1"/>
    <d v="2024-07-19T00:00:00"/>
    <x v="1"/>
    <n v="5"/>
    <s v="Monthly"/>
    <s v="No"/>
    <s v="-"/>
    <s v="No"/>
    <n v="0"/>
    <n v="2"/>
    <n v="3"/>
  </r>
  <r>
    <n v="3376"/>
    <s v="Igor Martins"/>
    <x v="0"/>
    <d v="2024-07-20T00:00:00"/>
    <x v="0"/>
    <n v="15"/>
    <s v="Annual"/>
    <s v="Yes"/>
    <n v="30"/>
    <s v="Yes"/>
    <n v="20"/>
    <n v="5"/>
    <n v="60"/>
  </r>
  <r>
    <n v="3377"/>
    <s v="Joana Figueiredo"/>
    <x v="2"/>
    <d v="2024-07-21T00:00:00"/>
    <x v="1"/>
    <n v="10"/>
    <s v="Monthly"/>
    <s v="No"/>
    <s v="-"/>
    <s v="Yes"/>
    <n v="20"/>
    <n v="10"/>
    <n v="20"/>
  </r>
  <r>
    <n v="3378"/>
    <s v="Kleber Machado"/>
    <x v="1"/>
    <d v="2024-07-22T00:00:00"/>
    <x v="0"/>
    <n v="5"/>
    <s v="Quarterly"/>
    <s v="No"/>
    <s v="-"/>
    <s v="No"/>
    <n v="0"/>
    <n v="0"/>
    <n v="5"/>
  </r>
  <r>
    <n v="3379"/>
    <s v="Luciana Santos"/>
    <x v="0"/>
    <d v="2024-07-23T00:00:00"/>
    <x v="1"/>
    <n v="15"/>
    <s v="Monthly"/>
    <s v="Yes"/>
    <n v="30"/>
    <s v="Yes"/>
    <n v="20"/>
    <n v="3"/>
    <n v="62"/>
  </r>
  <r>
    <n v="3380"/>
    <s v="Marcos Teixeira"/>
    <x v="2"/>
    <d v="2024-07-24T00:00:00"/>
    <x v="0"/>
    <n v="10"/>
    <s v="Annual"/>
    <s v="No"/>
    <s v="-"/>
    <s v="Yes"/>
    <n v="20"/>
    <n v="15"/>
    <n v="15"/>
  </r>
  <r>
    <n v="3381"/>
    <s v="Natalia Costa"/>
    <x v="1"/>
    <d v="2024-07-25T00:00:00"/>
    <x v="1"/>
    <n v="5"/>
    <s v="Monthly"/>
    <s v="No"/>
    <s v="-"/>
    <s v="No"/>
    <n v="0"/>
    <n v="1"/>
    <n v="4"/>
  </r>
  <r>
    <n v="3382"/>
    <s v="Oscar Ribeiro"/>
    <x v="0"/>
    <d v="2024-07-26T00:00:00"/>
    <x v="0"/>
    <n v="15"/>
    <s v="Quarterly"/>
    <s v="Yes"/>
    <n v="30"/>
    <s v="Yes"/>
    <n v="20"/>
    <n v="7"/>
    <n v="58"/>
  </r>
  <r>
    <n v="3383"/>
    <s v="Patricia Almeida"/>
    <x v="2"/>
    <d v="2024-07-27T00:00:00"/>
    <x v="1"/>
    <n v="10"/>
    <s v="Monthly"/>
    <s v="No"/>
    <s v="-"/>
    <s v="Yes"/>
    <n v="20"/>
    <n v="10"/>
    <n v="20"/>
  </r>
  <r>
    <n v="3384"/>
    <s v="Quirino Junior"/>
    <x v="1"/>
    <d v="2024-07-28T00:00:00"/>
    <x v="0"/>
    <n v="5"/>
    <s v="Annual"/>
    <s v="No"/>
    <s v="-"/>
    <s v="No"/>
    <n v="0"/>
    <n v="0"/>
    <n v="5"/>
  </r>
  <r>
    <n v="3385"/>
    <s v="Renata Machado"/>
    <x v="0"/>
    <d v="2024-07-29T00:00:00"/>
    <x v="1"/>
    <n v="15"/>
    <s v="Monthly"/>
    <s v="Yes"/>
    <n v="30"/>
    <s v="Yes"/>
    <n v="20"/>
    <n v="20"/>
    <n v="45"/>
  </r>
  <r>
    <n v="3386"/>
    <s v="Sônia Alves"/>
    <x v="2"/>
    <d v="2024-07-30T00:00:00"/>
    <x v="0"/>
    <n v="10"/>
    <s v="Quarterly"/>
    <s v="No"/>
    <s v="-"/>
    <s v="Yes"/>
    <n v="20"/>
    <n v="15"/>
    <n v="15"/>
  </r>
  <r>
    <n v="3387"/>
    <s v="Tiago Nunes"/>
    <x v="1"/>
    <d v="2024-07-31T00:00:00"/>
    <x v="1"/>
    <n v="5"/>
    <s v="Monthly"/>
    <s v="No"/>
    <s v="-"/>
    <s v="No"/>
    <n v="0"/>
    <n v="1"/>
    <n v="4"/>
  </r>
  <r>
    <n v="3388"/>
    <s v="Ulysses Pereira"/>
    <x v="0"/>
    <d v="2024-08-01T00:00:00"/>
    <x v="0"/>
    <n v="15"/>
    <s v="Annual"/>
    <s v="Yes"/>
    <n v="30"/>
    <s v="Yes"/>
    <n v="20"/>
    <n v="3"/>
    <n v="62"/>
  </r>
  <r>
    <n v="3389"/>
    <s v="Vanessa Lima"/>
    <x v="2"/>
    <d v="2024-08-02T00:00:00"/>
    <x v="1"/>
    <n v="10"/>
    <s v="Monthly"/>
    <s v="No"/>
    <s v="-"/>
    <s v="Yes"/>
    <n v="20"/>
    <n v="10"/>
    <n v="20"/>
  </r>
  <r>
    <n v="3390"/>
    <s v="Wagner Santos"/>
    <x v="1"/>
    <d v="2024-08-03T00:00:00"/>
    <x v="0"/>
    <n v="5"/>
    <s v="Quarterly"/>
    <s v="No"/>
    <s v="-"/>
    <s v="No"/>
    <n v="0"/>
    <n v="0"/>
    <n v="5"/>
  </r>
  <r>
    <n v="3391"/>
    <s v="Xuxa Meneghel"/>
    <x v="0"/>
    <d v="2024-08-04T00:00:00"/>
    <x v="1"/>
    <n v="15"/>
    <s v="Monthly"/>
    <s v="Yes"/>
    <n v="30"/>
    <s v="Yes"/>
    <n v="20"/>
    <n v="15"/>
    <n v="50"/>
  </r>
  <r>
    <n v="3392"/>
    <s v="Yasmin Silva"/>
    <x v="2"/>
    <d v="2024-08-05T00:00:00"/>
    <x v="0"/>
    <n v="10"/>
    <s v="Annual"/>
    <s v="No"/>
    <s v="-"/>
    <s v="Yes"/>
    <n v="20"/>
    <n v="15"/>
    <n v="15"/>
  </r>
  <r>
    <n v="3393"/>
    <s v="Zacarias de Souza"/>
    <x v="1"/>
    <d v="2024-08-06T00:00:00"/>
    <x v="1"/>
    <n v="5"/>
    <s v="Monthly"/>
    <s v="No"/>
    <s v="-"/>
    <s v="No"/>
    <n v="0"/>
    <n v="1"/>
    <n v="4"/>
  </r>
  <r>
    <n v="3394"/>
    <s v="André Lima"/>
    <x v="0"/>
    <d v="2024-08-07T00:00:00"/>
    <x v="0"/>
    <n v="15"/>
    <s v="Quarterly"/>
    <s v="Yes"/>
    <n v="30"/>
    <s v="Yes"/>
    <n v="20"/>
    <n v="7"/>
    <n v="58"/>
  </r>
  <r>
    <n v="3395"/>
    <s v="Bianca Freitas"/>
    <x v="2"/>
    <d v="2024-08-08T00:00:00"/>
    <x v="1"/>
    <n v="10"/>
    <s v="Monthly"/>
    <s v="No"/>
    <s v="-"/>
    <s v="Yes"/>
    <n v="20"/>
    <n v="10"/>
    <n v="20"/>
  </r>
  <r>
    <n v="3396"/>
    <s v="Caio Mendes"/>
    <x v="1"/>
    <d v="2024-08-09T00:00:00"/>
    <x v="0"/>
    <n v="5"/>
    <s v="Annual"/>
    <s v="No"/>
    <s v="-"/>
    <s v="No"/>
    <n v="0"/>
    <n v="0"/>
    <n v="5"/>
  </r>
  <r>
    <n v="3397"/>
    <s v="Daniela Moura"/>
    <x v="0"/>
    <d v="2024-08-10T00:00:00"/>
    <x v="1"/>
    <n v="15"/>
    <s v="Monthly"/>
    <s v="Yes"/>
    <n v="30"/>
    <s v="Yes"/>
    <n v="20"/>
    <n v="20"/>
    <n v="45"/>
  </r>
  <r>
    <n v="3398"/>
    <s v="Eduardo Costa"/>
    <x v="2"/>
    <d v="2024-08-11T00:00:00"/>
    <x v="0"/>
    <n v="10"/>
    <s v="Quarterly"/>
    <s v="No"/>
    <s v="-"/>
    <s v="Yes"/>
    <n v="20"/>
    <n v="15"/>
    <n v="15"/>
  </r>
  <r>
    <n v="3399"/>
    <s v="Fernanda Gomes"/>
    <x v="1"/>
    <d v="2024-08-12T00:00:00"/>
    <x v="1"/>
    <n v="5"/>
    <s v="Monthly"/>
    <s v="No"/>
    <s v="-"/>
    <s v="No"/>
    <n v="0"/>
    <n v="1"/>
    <n v="4"/>
  </r>
  <r>
    <n v="3400"/>
    <s v="Guilherme Souza"/>
    <x v="0"/>
    <d v="2024-08-13T00:00:00"/>
    <x v="0"/>
    <n v="15"/>
    <s v="Annual"/>
    <s v="Yes"/>
    <n v="30"/>
    <s v="Yes"/>
    <n v="20"/>
    <n v="5"/>
    <n v="60"/>
  </r>
  <r>
    <n v="3401"/>
    <s v="Helena Ribeiro"/>
    <x v="2"/>
    <d v="2024-08-14T00:00:00"/>
    <x v="1"/>
    <n v="10"/>
    <s v="Monthly"/>
    <s v="No"/>
    <s v="-"/>
    <s v="Yes"/>
    <n v="20"/>
    <n v="10"/>
    <n v="20"/>
  </r>
  <r>
    <n v="3402"/>
    <s v="Igor Santos"/>
    <x v="1"/>
    <d v="2024-08-15T00:00:00"/>
    <x v="0"/>
    <n v="5"/>
    <s v="Quarterly"/>
    <s v="No"/>
    <s v="-"/>
    <s v="No"/>
    <n v="0"/>
    <n v="0"/>
    <n v="5"/>
  </r>
  <r>
    <n v="3403"/>
    <s v="João Carvalho"/>
    <x v="0"/>
    <d v="2024-08-16T00:00:00"/>
    <x v="1"/>
    <n v="15"/>
    <s v="Monthly"/>
    <s v="Yes"/>
    <n v="30"/>
    <s v="Yes"/>
    <n v="20"/>
    <n v="3"/>
    <n v="62"/>
  </r>
  <r>
    <n v="3404"/>
    <s v="Klara Fagundes"/>
    <x v="2"/>
    <d v="2024-08-17T00:00:00"/>
    <x v="0"/>
    <n v="10"/>
    <s v="Annual"/>
    <s v="No"/>
    <s v="-"/>
    <s v="Yes"/>
    <n v="20"/>
    <n v="15"/>
    <n v="15"/>
  </r>
  <r>
    <n v="3405"/>
    <s v="Lúcia Mendonça"/>
    <x v="1"/>
    <d v="2024-08-18T00:00:00"/>
    <x v="1"/>
    <n v="5"/>
    <s v="Monthly"/>
    <s v="No"/>
    <s v="-"/>
    <s v="No"/>
    <n v="0"/>
    <n v="1"/>
    <n v="4"/>
  </r>
  <r>
    <n v="3406"/>
    <s v="Marcelo Novaes"/>
    <x v="1"/>
    <d v="2024-08-19T00:00:00"/>
    <x v="0"/>
    <n v="5"/>
    <s v="Monthly"/>
    <s v="No"/>
    <s v="-"/>
    <s v="No"/>
    <n v="0"/>
    <n v="0"/>
    <n v="5"/>
  </r>
  <r>
    <n v="3407"/>
    <s v="Nina Pacheco"/>
    <x v="0"/>
    <d v="2024-08-20T00:00:00"/>
    <x v="1"/>
    <n v="15"/>
    <s v="Quarterly"/>
    <s v="Yes"/>
    <n v="30"/>
    <s v="Yes"/>
    <n v="20"/>
    <n v="7"/>
    <n v="58"/>
  </r>
  <r>
    <n v="3408"/>
    <s v="Olívia Rios"/>
    <x v="2"/>
    <d v="2024-08-21T00:00:00"/>
    <x v="0"/>
    <n v="10"/>
    <s v="Annual"/>
    <s v="No"/>
    <s v="-"/>
    <s v="Yes"/>
    <n v="20"/>
    <n v="10"/>
    <n v="20"/>
  </r>
  <r>
    <n v="3409"/>
    <s v="Paulo Quintana"/>
    <x v="1"/>
    <d v="2024-08-22T00:00:00"/>
    <x v="1"/>
    <n v="5"/>
    <s v="Quarterly"/>
    <s v="No"/>
    <s v="-"/>
    <s v="No"/>
    <n v="0"/>
    <n v="1"/>
    <n v="4"/>
  </r>
  <r>
    <n v="3410"/>
    <s v="Raquel Domingos"/>
    <x v="0"/>
    <d v="2024-08-23T00:00:00"/>
    <x v="0"/>
    <n v="15"/>
    <s v="Monthly"/>
    <s v="Yes"/>
    <n v="30"/>
    <s v="Yes"/>
    <n v="20"/>
    <n v="15"/>
    <n v="50"/>
  </r>
  <r>
    <n v="3411"/>
    <s v="Samuel Viana"/>
    <x v="2"/>
    <d v="2024-08-24T00:00:00"/>
    <x v="1"/>
    <n v="10"/>
    <s v="Monthly"/>
    <s v="No"/>
    <s v="-"/>
    <s v="Yes"/>
    <n v="20"/>
    <n v="5"/>
    <n v="25"/>
  </r>
  <r>
    <n v="3412"/>
    <s v="Tatiane Rocha"/>
    <x v="1"/>
    <d v="2024-08-25T00:00:00"/>
    <x v="0"/>
    <n v="5"/>
    <s v="Annual"/>
    <s v="No"/>
    <s v="-"/>
    <s v="No"/>
    <n v="0"/>
    <n v="0"/>
    <n v="5"/>
  </r>
  <r>
    <n v="3413"/>
    <s v="Ulysses Farias"/>
    <x v="0"/>
    <d v="2024-08-26T00:00:00"/>
    <x v="1"/>
    <n v="15"/>
    <s v="Quarterly"/>
    <s v="Yes"/>
    <n v="30"/>
    <s v="Yes"/>
    <n v="20"/>
    <n v="20"/>
    <n v="45"/>
  </r>
  <r>
    <n v="3414"/>
    <s v="Vanessa Moreira"/>
    <x v="2"/>
    <d v="2024-08-27T00:00:00"/>
    <x v="0"/>
    <n v="10"/>
    <s v="Quarterly"/>
    <s v="No"/>
    <s v="-"/>
    <s v="Yes"/>
    <n v="20"/>
    <n v="12"/>
    <n v="18"/>
  </r>
  <r>
    <n v="3415"/>
    <s v="William Carvalho"/>
    <x v="1"/>
    <d v="2024-08-28T00:00:00"/>
    <x v="1"/>
    <n v="5"/>
    <s v="Monthly"/>
    <s v="No"/>
    <s v="-"/>
    <s v="No"/>
    <n v="0"/>
    <n v="2"/>
    <n v="3"/>
  </r>
  <r>
    <n v="3416"/>
    <s v="Ximena Barros"/>
    <x v="0"/>
    <d v="2024-08-29T00:00:00"/>
    <x v="0"/>
    <n v="15"/>
    <s v="Annual"/>
    <s v="Yes"/>
    <n v="30"/>
    <s v="Yes"/>
    <n v="20"/>
    <n v="5"/>
    <n v="60"/>
  </r>
  <r>
    <n v="3417"/>
    <s v="Yara Machado"/>
    <x v="2"/>
    <d v="2024-08-30T00:00:00"/>
    <x v="1"/>
    <n v="10"/>
    <s v="Monthly"/>
    <s v="No"/>
    <s v="-"/>
    <s v="Yes"/>
    <n v="20"/>
    <n v="10"/>
    <n v="20"/>
  </r>
  <r>
    <n v="3418"/>
    <s v="Zacarias Costa"/>
    <x v="1"/>
    <d v="2024-08-31T00:00:00"/>
    <x v="0"/>
    <n v="5"/>
    <s v="Quarterly"/>
    <s v="No"/>
    <s v="-"/>
    <s v="No"/>
    <n v="0"/>
    <n v="0"/>
    <n v="5"/>
  </r>
  <r>
    <n v="3419"/>
    <s v="André Lopes"/>
    <x v="0"/>
    <d v="2024-09-01T00:00:00"/>
    <x v="1"/>
    <n v="15"/>
    <s v="Monthly"/>
    <s v="Yes"/>
    <n v="30"/>
    <s v="Yes"/>
    <n v="20"/>
    <n v="3"/>
    <n v="62"/>
  </r>
  <r>
    <n v="3420"/>
    <s v="Beatriz Souza"/>
    <x v="2"/>
    <d v="2024-09-02T00:00:00"/>
    <x v="0"/>
    <n v="10"/>
    <s v="Annual"/>
    <s v="No"/>
    <s v="-"/>
    <s v="Yes"/>
    <n v="20"/>
    <n v="15"/>
    <n v="15"/>
  </r>
  <r>
    <n v="3421"/>
    <s v="Caio Pereira"/>
    <x v="1"/>
    <d v="2024-09-03T00:00:00"/>
    <x v="1"/>
    <n v="5"/>
    <s v="Monthly"/>
    <s v="No"/>
    <s v="-"/>
    <s v="No"/>
    <n v="0"/>
    <n v="1"/>
    <n v="4"/>
  </r>
  <r>
    <n v="3422"/>
    <s v="Daniela Araújo"/>
    <x v="0"/>
    <d v="2024-09-04T00:00:00"/>
    <x v="0"/>
    <n v="15"/>
    <s v="Quarterly"/>
    <s v="Yes"/>
    <n v="30"/>
    <s v="Yes"/>
    <n v="20"/>
    <n v="7"/>
    <n v="58"/>
  </r>
  <r>
    <n v="3423"/>
    <s v="Eduardo Santos"/>
    <x v="2"/>
    <d v="2024-09-05T00:00:00"/>
    <x v="1"/>
    <n v="10"/>
    <s v="Monthly"/>
    <s v="No"/>
    <s v="-"/>
    <s v="Yes"/>
    <n v="20"/>
    <n v="10"/>
    <n v="20"/>
  </r>
  <r>
    <n v="3424"/>
    <s v="Fernanda Lima"/>
    <x v="1"/>
    <d v="2024-09-06T00:00:00"/>
    <x v="0"/>
    <n v="5"/>
    <s v="Annual"/>
    <s v="No"/>
    <s v="-"/>
    <s v="No"/>
    <n v="0"/>
    <n v="0"/>
    <n v="5"/>
  </r>
  <r>
    <n v="3425"/>
    <s v="Gabriel Teixeira"/>
    <x v="0"/>
    <d v="2024-09-07T00:00:00"/>
    <x v="1"/>
    <n v="15"/>
    <s v="Monthly"/>
    <s v="Yes"/>
    <n v="30"/>
    <s v="Yes"/>
    <n v="20"/>
    <n v="20"/>
    <n v="45"/>
  </r>
  <r>
    <n v="3426"/>
    <s v="Helena Ribeiro"/>
    <x v="2"/>
    <d v="2024-09-08T00:00:00"/>
    <x v="0"/>
    <n v="10"/>
    <s v="Quarterly"/>
    <s v="No"/>
    <s v="-"/>
    <s v="Yes"/>
    <n v="20"/>
    <n v="15"/>
    <n v="15"/>
  </r>
  <r>
    <n v="3427"/>
    <s v="Igor Mendes"/>
    <x v="1"/>
    <d v="2024-09-09T00:00:00"/>
    <x v="1"/>
    <n v="5"/>
    <s v="Monthly"/>
    <s v="No"/>
    <s v="-"/>
    <s v="No"/>
    <n v="0"/>
    <n v="1"/>
    <n v="4"/>
  </r>
  <r>
    <n v="3428"/>
    <s v="Joana Silveira"/>
    <x v="0"/>
    <d v="2024-09-10T00:00:00"/>
    <x v="0"/>
    <n v="15"/>
    <s v="Annual"/>
    <s v="Yes"/>
    <n v="30"/>
    <s v="Yes"/>
    <n v="20"/>
    <n v="3"/>
    <n v="62"/>
  </r>
  <r>
    <n v="3429"/>
    <s v="Lucas Martins"/>
    <x v="2"/>
    <d v="2024-09-11T00:00:00"/>
    <x v="1"/>
    <n v="10"/>
    <s v="Monthly"/>
    <s v="No"/>
    <s v="-"/>
    <s v="Yes"/>
    <n v="20"/>
    <n v="10"/>
    <n v="20"/>
  </r>
  <r>
    <n v="3430"/>
    <s v="Marcela Gouveia"/>
    <x v="1"/>
    <d v="2024-09-12T00:00:00"/>
    <x v="0"/>
    <n v="5"/>
    <s v="Quarterly"/>
    <s v="No"/>
    <s v="-"/>
    <s v="No"/>
    <n v="0"/>
    <n v="0"/>
    <n v="5"/>
  </r>
  <r>
    <n v="3431"/>
    <s v="Nicolas Borges"/>
    <x v="0"/>
    <d v="2024-09-13T00:00:00"/>
    <x v="1"/>
    <n v="15"/>
    <s v="Monthly"/>
    <s v="Yes"/>
    <n v="30"/>
    <s v="Yes"/>
    <n v="20"/>
    <n v="15"/>
    <n v="50"/>
  </r>
  <r>
    <n v="3432"/>
    <s v="Olivia Freitas"/>
    <x v="2"/>
    <d v="2024-09-14T00:00:00"/>
    <x v="0"/>
    <n v="10"/>
    <s v="Annual"/>
    <s v="No"/>
    <s v="-"/>
    <s v="Yes"/>
    <n v="20"/>
    <n v="15"/>
    <n v="15"/>
  </r>
  <r>
    <n v="3433"/>
    <s v="Paulo Nogueira"/>
    <x v="1"/>
    <d v="2024-09-15T00:00:00"/>
    <x v="1"/>
    <n v="5"/>
    <s v="Monthly"/>
    <s v="No"/>
    <s v="-"/>
    <s v="No"/>
    <n v="0"/>
    <n v="1"/>
    <n v="4"/>
  </r>
  <r>
    <n v="3434"/>
    <s v="Raquel Andrade"/>
    <x v="0"/>
    <d v="2024-09-16T00:00:00"/>
    <x v="0"/>
    <n v="15"/>
    <s v="Quarterly"/>
    <s v="Yes"/>
    <n v="30"/>
    <s v="Yes"/>
    <n v="20"/>
    <n v="7"/>
    <n v="58"/>
  </r>
  <r>
    <n v="3435"/>
    <s v="Sônia Carvalho"/>
    <x v="2"/>
    <d v="2024-09-17T00:00:00"/>
    <x v="1"/>
    <n v="10"/>
    <s v="Monthly"/>
    <s v="No"/>
    <s v="-"/>
    <s v="Yes"/>
    <n v="20"/>
    <n v="10"/>
    <n v="20"/>
  </r>
  <r>
    <n v="3436"/>
    <s v="Tiago Rodrigues"/>
    <x v="1"/>
    <d v="2024-09-18T00:00:00"/>
    <x v="0"/>
    <n v="5"/>
    <s v="Monthly"/>
    <s v="No"/>
    <s v="-"/>
    <s v="No"/>
    <n v="0"/>
    <n v="0"/>
    <n v="5"/>
  </r>
  <r>
    <n v="3437"/>
    <s v="Ursula Monteiro"/>
    <x v="0"/>
    <d v="2024-09-19T00:00:00"/>
    <x v="1"/>
    <n v="15"/>
    <s v="Quarterly"/>
    <s v="Yes"/>
    <n v="30"/>
    <s v="Yes"/>
    <n v="20"/>
    <n v="7"/>
    <n v="58"/>
  </r>
  <r>
    <n v="3438"/>
    <s v="Vanessa Pereira"/>
    <x v="2"/>
    <d v="2024-09-20T00:00:00"/>
    <x v="0"/>
    <n v="10"/>
    <s v="Annual"/>
    <s v="No"/>
    <s v="-"/>
    <s v="Yes"/>
    <n v="20"/>
    <n v="10"/>
    <n v="20"/>
  </r>
  <r>
    <n v="3439"/>
    <s v="Walter Silva"/>
    <x v="1"/>
    <d v="2024-09-21T00:00:00"/>
    <x v="1"/>
    <n v="5"/>
    <s v="Quarterly"/>
    <s v="No"/>
    <s v="-"/>
    <s v="No"/>
    <n v="0"/>
    <n v="1"/>
    <n v="4"/>
  </r>
  <r>
    <n v="3440"/>
    <s v="Xavier Almeida"/>
    <x v="0"/>
    <d v="2024-09-22T00:00:00"/>
    <x v="0"/>
    <n v="15"/>
    <s v="Monthly"/>
    <s v="Yes"/>
    <n v="30"/>
    <s v="Yes"/>
    <n v="20"/>
    <n v="15"/>
    <n v="50"/>
  </r>
  <r>
    <n v="3441"/>
    <s v="Yasmine Correia"/>
    <x v="2"/>
    <d v="2024-09-23T00:00:00"/>
    <x v="1"/>
    <n v="10"/>
    <s v="Monthly"/>
    <s v="No"/>
    <s v="-"/>
    <s v="Yes"/>
    <n v="20"/>
    <n v="5"/>
    <n v="25"/>
  </r>
  <r>
    <n v="3442"/>
    <s v="Zacarias Almeida"/>
    <x v="1"/>
    <d v="2024-09-24T00:00:00"/>
    <x v="0"/>
    <n v="5"/>
    <s v="Annual"/>
    <s v="No"/>
    <s v="-"/>
    <s v="No"/>
    <n v="0"/>
    <n v="0"/>
    <n v="5"/>
  </r>
  <r>
    <n v="3443"/>
    <s v="Amanda Costa"/>
    <x v="0"/>
    <d v="2024-09-25T00:00:00"/>
    <x v="1"/>
    <n v="15"/>
    <s v="Quarterly"/>
    <s v="Yes"/>
    <n v="30"/>
    <s v="Yes"/>
    <n v="20"/>
    <n v="20"/>
    <n v="45"/>
  </r>
  <r>
    <n v="3444"/>
    <s v="Bruno Ferreira"/>
    <x v="2"/>
    <d v="2024-09-26T00:00:00"/>
    <x v="0"/>
    <n v="10"/>
    <s v="Quarterly"/>
    <s v="No"/>
    <s v="-"/>
    <s v="Yes"/>
    <n v="20"/>
    <n v="12"/>
    <n v="18"/>
  </r>
  <r>
    <n v="3445"/>
    <s v="Carla Dias"/>
    <x v="1"/>
    <d v="2024-09-27T00:00:00"/>
    <x v="1"/>
    <n v="5"/>
    <s v="Monthly"/>
    <s v="No"/>
    <s v="-"/>
    <s v="No"/>
    <n v="0"/>
    <n v="2"/>
    <n v="3"/>
  </r>
  <r>
    <n v="3446"/>
    <s v="Diogo Martins"/>
    <x v="0"/>
    <d v="2024-09-28T00:00:00"/>
    <x v="0"/>
    <n v="15"/>
    <s v="Annual"/>
    <s v="Yes"/>
    <n v="30"/>
    <s v="Yes"/>
    <n v="20"/>
    <n v="5"/>
    <n v="60"/>
  </r>
  <r>
    <n v="3447"/>
    <s v="Elisa Campos"/>
    <x v="2"/>
    <d v="2024-09-29T00:00:00"/>
    <x v="1"/>
    <n v="10"/>
    <s v="Monthly"/>
    <s v="No"/>
    <s v="-"/>
    <s v="Yes"/>
    <n v="20"/>
    <n v="10"/>
    <n v="20"/>
  </r>
  <r>
    <n v="3448"/>
    <s v="Fabiana Lima"/>
    <x v="1"/>
    <d v="2024-09-30T00:00:00"/>
    <x v="0"/>
    <n v="5"/>
    <s v="Quarterly"/>
    <s v="No"/>
    <s v="-"/>
    <s v="No"/>
    <n v="0"/>
    <n v="0"/>
    <n v="5"/>
  </r>
  <r>
    <n v="3449"/>
    <s v="Gabriel Santos"/>
    <x v="0"/>
    <d v="2024-10-01T00:00:00"/>
    <x v="1"/>
    <n v="15"/>
    <s v="Monthly"/>
    <s v="Yes"/>
    <n v="30"/>
    <s v="Yes"/>
    <n v="20"/>
    <n v="3"/>
    <n v="62"/>
  </r>
  <r>
    <n v="3450"/>
    <s v="Helena Ferreira"/>
    <x v="2"/>
    <d v="2024-10-02T00:00:00"/>
    <x v="0"/>
    <n v="10"/>
    <s v="Annual"/>
    <s v="No"/>
    <s v="-"/>
    <s v="Yes"/>
    <n v="20"/>
    <n v="15"/>
    <n v="15"/>
  </r>
  <r>
    <n v="3451"/>
    <s v="Ígor Nunes"/>
    <x v="1"/>
    <d v="2024-10-03T00:00:00"/>
    <x v="1"/>
    <n v="5"/>
    <s v="Monthly"/>
    <s v="No"/>
    <s v="-"/>
    <s v="No"/>
    <n v="0"/>
    <n v="1"/>
    <n v="4"/>
  </r>
  <r>
    <n v="3452"/>
    <s v="Joana Silveira"/>
    <x v="0"/>
    <d v="2024-10-04T00:00:00"/>
    <x v="0"/>
    <n v="15"/>
    <s v="Quarterly"/>
    <s v="Yes"/>
    <n v="30"/>
    <s v="Yes"/>
    <n v="20"/>
    <n v="7"/>
    <n v="58"/>
  </r>
  <r>
    <n v="3453"/>
    <s v="Kléber Oliveira"/>
    <x v="2"/>
    <d v="2024-10-05T00:00:00"/>
    <x v="1"/>
    <n v="10"/>
    <s v="Monthly"/>
    <s v="No"/>
    <s v="-"/>
    <s v="Yes"/>
    <n v="20"/>
    <n v="10"/>
    <n v="20"/>
  </r>
  <r>
    <n v="3454"/>
    <s v="Luciana Morais"/>
    <x v="1"/>
    <d v="2024-10-06T00:00:00"/>
    <x v="0"/>
    <n v="5"/>
    <s v="Annual"/>
    <s v="No"/>
    <s v="-"/>
    <s v="No"/>
    <n v="0"/>
    <n v="0"/>
    <n v="5"/>
  </r>
  <r>
    <n v="3455"/>
    <s v="Marcos Vinícius"/>
    <x v="0"/>
    <d v="2024-10-07T00:00:00"/>
    <x v="1"/>
    <n v="15"/>
    <s v="Monthly"/>
    <s v="Yes"/>
    <n v="30"/>
    <s v="Yes"/>
    <n v="20"/>
    <n v="20"/>
    <n v="45"/>
  </r>
  <r>
    <n v="3456"/>
    <s v="Natália Barros"/>
    <x v="2"/>
    <d v="2024-10-08T00:00:00"/>
    <x v="0"/>
    <n v="10"/>
    <s v="Quarterly"/>
    <s v="No"/>
    <s v="-"/>
    <s v="Yes"/>
    <n v="20"/>
    <n v="15"/>
    <n v="15"/>
  </r>
  <r>
    <n v="3457"/>
    <s v="Oscar Sampaio"/>
    <x v="1"/>
    <d v="2024-10-09T00:00:00"/>
    <x v="1"/>
    <n v="5"/>
    <s v="Monthly"/>
    <s v="No"/>
    <s v="-"/>
    <s v="No"/>
    <n v="0"/>
    <n v="1"/>
    <n v="4"/>
  </r>
  <r>
    <n v="3458"/>
    <s v="Patrícia Leite"/>
    <x v="0"/>
    <d v="2024-10-10T00:00:00"/>
    <x v="0"/>
    <n v="15"/>
    <s v="Annual"/>
    <s v="Yes"/>
    <n v="30"/>
    <s v="Yes"/>
    <n v="20"/>
    <n v="3"/>
    <n v="62"/>
  </r>
  <r>
    <n v="3459"/>
    <s v="Quênia Rocha"/>
    <x v="2"/>
    <d v="2024-10-11T00:00:00"/>
    <x v="1"/>
    <n v="10"/>
    <s v="Monthly"/>
    <s v="No"/>
    <s v="-"/>
    <s v="Yes"/>
    <n v="20"/>
    <n v="10"/>
    <n v="20"/>
  </r>
  <r>
    <n v="3460"/>
    <s v="Rafael Torres"/>
    <x v="1"/>
    <d v="2024-10-12T00:00:00"/>
    <x v="0"/>
    <n v="5"/>
    <s v="Quarterly"/>
    <s v="No"/>
    <s v="-"/>
    <s v="No"/>
    <n v="0"/>
    <n v="0"/>
    <n v="5"/>
  </r>
  <r>
    <n v="3461"/>
    <s v="Sandra Gouveia"/>
    <x v="0"/>
    <d v="2024-10-13T00:00:00"/>
    <x v="1"/>
    <n v="15"/>
    <s v="Monthly"/>
    <s v="Yes"/>
    <n v="30"/>
    <s v="Yes"/>
    <n v="20"/>
    <n v="15"/>
    <n v="50"/>
  </r>
  <r>
    <n v="3462"/>
    <s v="Tiago Lacerda"/>
    <x v="2"/>
    <d v="2024-10-14T00:00:00"/>
    <x v="0"/>
    <n v="10"/>
    <s v="Annual"/>
    <s v="No"/>
    <s v="-"/>
    <s v="Yes"/>
    <n v="20"/>
    <n v="15"/>
    <n v="15"/>
  </r>
  <r>
    <n v="3463"/>
    <s v="Ursula Fonseca"/>
    <x v="1"/>
    <d v="2024-10-15T00:00:00"/>
    <x v="1"/>
    <n v="5"/>
    <s v="Monthly"/>
    <s v="No"/>
    <s v="-"/>
    <s v="No"/>
    <n v="0"/>
    <n v="1"/>
    <n v="4"/>
  </r>
  <r>
    <n v="3464"/>
    <s v="Vanessa Andrade"/>
    <x v="0"/>
    <d v="2024-10-16T00:00:00"/>
    <x v="0"/>
    <n v="15"/>
    <s v="Quarterly"/>
    <s v="Yes"/>
    <n v="30"/>
    <s v="Yes"/>
    <n v="20"/>
    <n v="7"/>
    <n v="58"/>
  </r>
  <r>
    <n v="3465"/>
    <s v="William Castro"/>
    <x v="2"/>
    <d v="2024-10-17T00:00:00"/>
    <x v="1"/>
    <n v="10"/>
    <s v="Monthly"/>
    <s v="No"/>
    <s v="-"/>
    <s v="Yes"/>
    <n v="20"/>
    <n v="10"/>
    <n v="20"/>
  </r>
  <r>
    <n v="3466"/>
    <s v="Xavier Monteiro"/>
    <x v="1"/>
    <d v="2024-10-18T00:00:00"/>
    <x v="0"/>
    <n v="5"/>
    <s v="Annual"/>
    <s v="No"/>
    <s v="-"/>
    <s v="No"/>
    <n v="0"/>
    <n v="0"/>
    <n v="5"/>
  </r>
  <r>
    <n v="3467"/>
    <s v="Yasmin Figueira"/>
    <x v="0"/>
    <d v="2024-10-19T00:00:00"/>
    <x v="1"/>
    <n v="15"/>
    <s v="Monthly"/>
    <s v="Yes"/>
    <n v="30"/>
    <s v="Yes"/>
    <n v="20"/>
    <n v="15"/>
    <n v="50"/>
  </r>
  <r>
    <n v="3468"/>
    <s v="Zacarias Mendonça"/>
    <x v="2"/>
    <d v="2024-10-20T00:00:00"/>
    <x v="0"/>
    <n v="10"/>
    <s v="Quarterly"/>
    <s v="No"/>
    <s v="-"/>
    <s v="Yes"/>
    <n v="20"/>
    <n v="12"/>
    <n v="18"/>
  </r>
  <r>
    <n v="3469"/>
    <s v="Amanda Menezes"/>
    <x v="1"/>
    <d v="2024-10-21T00:00:00"/>
    <x v="1"/>
    <n v="5"/>
    <s v="Monthly"/>
    <s v="No"/>
    <s v="-"/>
    <s v="No"/>
    <n v="0"/>
    <n v="2"/>
    <n v="3"/>
  </r>
  <r>
    <n v="3470"/>
    <s v="Bruno Santos"/>
    <x v="0"/>
    <d v="2024-10-22T00:00:00"/>
    <x v="0"/>
    <n v="15"/>
    <s v="Annual"/>
    <s v="Yes"/>
    <n v="30"/>
    <s v="Yes"/>
    <n v="20"/>
    <n v="5"/>
    <n v="60"/>
  </r>
  <r>
    <n v="3471"/>
    <s v="Carla Ferreira"/>
    <x v="2"/>
    <d v="2024-10-23T00:00:00"/>
    <x v="1"/>
    <n v="10"/>
    <s v="Monthly"/>
    <s v="No"/>
    <s v="-"/>
    <s v="Yes"/>
    <n v="20"/>
    <n v="10"/>
    <n v="20"/>
  </r>
  <r>
    <n v="3472"/>
    <s v="Diogo Alves"/>
    <x v="1"/>
    <d v="2024-10-24T00:00:00"/>
    <x v="0"/>
    <n v="5"/>
    <s v="Quarterly"/>
    <s v="No"/>
    <s v="-"/>
    <s v="No"/>
    <n v="0"/>
    <n v="0"/>
    <n v="5"/>
  </r>
  <r>
    <n v="3473"/>
    <s v="Elisa Neves"/>
    <x v="0"/>
    <d v="2024-10-25T00:00:00"/>
    <x v="1"/>
    <n v="15"/>
    <s v="Monthly"/>
    <s v="Yes"/>
    <n v="30"/>
    <s v="Yes"/>
    <n v="20"/>
    <n v="3"/>
    <n v="62"/>
  </r>
  <r>
    <n v="3474"/>
    <s v="Fabiano Pires"/>
    <x v="2"/>
    <d v="2024-10-26T00:00:00"/>
    <x v="0"/>
    <n v="10"/>
    <s v="Annual"/>
    <s v="No"/>
    <s v="-"/>
    <s v="Yes"/>
    <n v="20"/>
    <n v="15"/>
    <n v="15"/>
  </r>
  <r>
    <n v="3475"/>
    <s v="Giovana Ribeiro"/>
    <x v="1"/>
    <d v="2024-10-27T00:00:00"/>
    <x v="1"/>
    <n v="5"/>
    <s v="Monthly"/>
    <s v="No"/>
    <s v="-"/>
    <s v="No"/>
    <n v="0"/>
    <n v="1"/>
    <n v="4"/>
  </r>
  <r>
    <n v="3476"/>
    <s v="Hélio Costa"/>
    <x v="0"/>
    <d v="2024-10-28T00:00:00"/>
    <x v="0"/>
    <n v="15"/>
    <s v="Quarterly"/>
    <s v="Yes"/>
    <n v="30"/>
    <s v="Yes"/>
    <n v="20"/>
    <n v="7"/>
    <n v="58"/>
  </r>
  <r>
    <n v="3477"/>
    <s v="Íris Loureiro"/>
    <x v="2"/>
    <d v="2024-10-29T00:00:00"/>
    <x v="1"/>
    <n v="10"/>
    <s v="Monthly"/>
    <s v="No"/>
    <s v="-"/>
    <s v="Yes"/>
    <n v="20"/>
    <n v="10"/>
    <n v="20"/>
  </r>
  <r>
    <n v="3478"/>
    <s v="João Pereira"/>
    <x v="1"/>
    <d v="2024-10-30T00:00:00"/>
    <x v="0"/>
    <n v="5"/>
    <s v="Annual"/>
    <s v="No"/>
    <s v="-"/>
    <s v="No"/>
    <n v="0"/>
    <n v="0"/>
    <n v="5"/>
  </r>
  <r>
    <n v="3479"/>
    <s v="Klara Silva"/>
    <x v="0"/>
    <d v="2024-10-31T00:00:00"/>
    <x v="1"/>
    <n v="15"/>
    <s v="Monthly"/>
    <s v="Yes"/>
    <n v="30"/>
    <s v="Yes"/>
    <n v="20"/>
    <n v="20"/>
    <n v="45"/>
  </r>
  <r>
    <n v="3480"/>
    <s v="Luciana Barros"/>
    <x v="2"/>
    <d v="2024-11-01T00:00:00"/>
    <x v="0"/>
    <n v="10"/>
    <s v="Quarterly"/>
    <s v="No"/>
    <s v="-"/>
    <s v="Yes"/>
    <n v="20"/>
    <n v="15"/>
    <n v="15"/>
  </r>
  <r>
    <n v="3481"/>
    <s v="Marcos Gomes"/>
    <x v="1"/>
    <d v="2024-11-02T00:00:00"/>
    <x v="1"/>
    <n v="5"/>
    <s v="Monthly"/>
    <s v="No"/>
    <s v="-"/>
    <s v="No"/>
    <n v="0"/>
    <n v="1"/>
    <n v="4"/>
  </r>
  <r>
    <n v="3482"/>
    <s v="Natália Soares"/>
    <x v="0"/>
    <d v="2024-11-03T00:00:00"/>
    <x v="0"/>
    <n v="15"/>
    <s v="Annual"/>
    <s v="Yes"/>
    <n v="30"/>
    <s v="Yes"/>
    <n v="20"/>
    <n v="3"/>
    <n v="62"/>
  </r>
  <r>
    <n v="3483"/>
    <s v="Oscar Machado"/>
    <x v="2"/>
    <d v="2024-11-04T00:00:00"/>
    <x v="1"/>
    <n v="10"/>
    <s v="Monthly"/>
    <s v="No"/>
    <s v="-"/>
    <s v="Yes"/>
    <n v="20"/>
    <n v="10"/>
    <n v="20"/>
  </r>
  <r>
    <n v="3484"/>
    <s v="Patrícia Lima"/>
    <x v="1"/>
    <d v="2024-11-05T00:00:00"/>
    <x v="0"/>
    <n v="5"/>
    <s v="Quarterly"/>
    <s v="No"/>
    <s v="-"/>
    <s v="No"/>
    <n v="0"/>
    <n v="0"/>
    <n v="5"/>
  </r>
  <r>
    <n v="3485"/>
    <s v="Quirino Neto"/>
    <x v="0"/>
    <d v="2024-11-06T00:00:00"/>
    <x v="1"/>
    <n v="15"/>
    <s v="Monthly"/>
    <s v="Yes"/>
    <n v="30"/>
    <s v="Yes"/>
    <n v="20"/>
    <n v="15"/>
    <n v="50"/>
  </r>
  <r>
    <n v="3486"/>
    <s v="Rafaela Souza"/>
    <x v="1"/>
    <d v="2024-11-07T00:00:00"/>
    <x v="0"/>
    <n v="5"/>
    <s v="Monthly"/>
    <s v="No"/>
    <s v="-"/>
    <s v="No"/>
    <n v="0"/>
    <n v="0"/>
    <n v="5"/>
  </r>
  <r>
    <n v="3487"/>
    <s v="Sandro Almeida"/>
    <x v="0"/>
    <d v="2024-11-08T00:00:00"/>
    <x v="1"/>
    <n v="15"/>
    <s v="Quarterly"/>
    <s v="Yes"/>
    <n v="30"/>
    <s v="Yes"/>
    <n v="20"/>
    <n v="7"/>
    <n v="58"/>
  </r>
  <r>
    <n v="3488"/>
    <s v="Tânia Ribeiro"/>
    <x v="2"/>
    <d v="2024-11-09T00:00:00"/>
    <x v="0"/>
    <n v="10"/>
    <s v="Annual"/>
    <s v="No"/>
    <s v="-"/>
    <s v="Yes"/>
    <n v="20"/>
    <n v="10"/>
    <n v="20"/>
  </r>
  <r>
    <n v="3489"/>
    <s v="Ugo Dias"/>
    <x v="1"/>
    <d v="2024-11-10T00:00:00"/>
    <x v="1"/>
    <n v="5"/>
    <s v="Quarterly"/>
    <s v="No"/>
    <s v="-"/>
    <s v="No"/>
    <n v="0"/>
    <n v="1"/>
    <n v="4"/>
  </r>
  <r>
    <n v="3490"/>
    <s v="Valéria Lima"/>
    <x v="0"/>
    <d v="2024-11-11T00:00:00"/>
    <x v="0"/>
    <n v="15"/>
    <s v="Monthly"/>
    <s v="Yes"/>
    <n v="30"/>
    <s v="Yes"/>
    <n v="20"/>
    <n v="15"/>
    <n v="50"/>
  </r>
  <r>
    <n v="3491"/>
    <s v="William Fernandes"/>
    <x v="2"/>
    <d v="2024-11-12T00:00:00"/>
    <x v="1"/>
    <n v="10"/>
    <s v="Monthly"/>
    <s v="No"/>
    <s v="-"/>
    <s v="Yes"/>
    <n v="20"/>
    <n v="5"/>
    <n v="25"/>
  </r>
  <r>
    <n v="3492"/>
    <s v="Xuxa Mendes"/>
    <x v="1"/>
    <d v="2024-11-13T00:00:00"/>
    <x v="0"/>
    <n v="5"/>
    <s v="Annual"/>
    <s v="No"/>
    <s v="-"/>
    <s v="No"/>
    <n v="0"/>
    <n v="0"/>
    <n v="5"/>
  </r>
  <r>
    <n v="3493"/>
    <s v="Ygor Farias"/>
    <x v="0"/>
    <d v="2024-11-14T00:00:00"/>
    <x v="1"/>
    <n v="15"/>
    <s v="Quarterly"/>
    <s v="Yes"/>
    <n v="30"/>
    <s v="Yes"/>
    <n v="20"/>
    <n v="20"/>
    <n v="45"/>
  </r>
  <r>
    <n v="3494"/>
    <s v="Zilda Barros"/>
    <x v="2"/>
    <d v="2024-11-15T00:00:00"/>
    <x v="0"/>
    <n v="10"/>
    <s v="Quarterly"/>
    <s v="No"/>
    <s v="-"/>
    <s v="Yes"/>
    <n v="20"/>
    <n v="12"/>
    <n v="18"/>
  </r>
  <r>
    <n v="3495"/>
    <s v="Amanda Santos"/>
    <x v="1"/>
    <d v="2024-11-16T00:00:00"/>
    <x v="1"/>
    <n v="5"/>
    <s v="Monthly"/>
    <s v="No"/>
    <s v="-"/>
    <s v="No"/>
    <n v="0"/>
    <n v="2"/>
    <n v="3"/>
  </r>
  <r>
    <n v="3496"/>
    <s v="Bruno Costa"/>
    <x v="0"/>
    <d v="2024-11-17T00:00:00"/>
    <x v="0"/>
    <n v="15"/>
    <s v="Annual"/>
    <s v="Yes"/>
    <n v="30"/>
    <s v="Yes"/>
    <n v="20"/>
    <n v="5"/>
    <n v="60"/>
  </r>
  <r>
    <n v="3497"/>
    <s v="Carla Rodrigues"/>
    <x v="2"/>
    <d v="2024-11-18T00:00:00"/>
    <x v="1"/>
    <n v="10"/>
    <s v="Monthly"/>
    <s v="No"/>
    <s v="-"/>
    <s v="Yes"/>
    <n v="20"/>
    <n v="10"/>
    <n v="20"/>
  </r>
  <r>
    <n v="3498"/>
    <s v="Diogo Pereira"/>
    <x v="1"/>
    <d v="2024-11-19T00:00:00"/>
    <x v="0"/>
    <n v="5"/>
    <s v="Quarterly"/>
    <s v="No"/>
    <s v="-"/>
    <s v="No"/>
    <n v="0"/>
    <n v="0"/>
    <n v="5"/>
  </r>
  <r>
    <n v="3499"/>
    <s v="Elisa Correia"/>
    <x v="0"/>
    <d v="2024-11-20T00:00:00"/>
    <x v="1"/>
    <n v="15"/>
    <s v="Monthly"/>
    <s v="Yes"/>
    <n v="30"/>
    <s v="Yes"/>
    <n v="20"/>
    <n v="3"/>
    <n v="62"/>
  </r>
  <r>
    <n v="3500"/>
    <s v="Fábio Lourenço"/>
    <x v="2"/>
    <d v="2024-11-21T00:00:00"/>
    <x v="0"/>
    <n v="10"/>
    <s v="Annual"/>
    <s v="No"/>
    <s v="-"/>
    <s v="Yes"/>
    <n v="20"/>
    <n v="15"/>
    <n v="15"/>
  </r>
  <r>
    <n v="3501"/>
    <s v="Gabriela Neves"/>
    <x v="1"/>
    <d v="2024-11-22T00:00:00"/>
    <x v="1"/>
    <n v="5"/>
    <s v="Monthly"/>
    <s v="No"/>
    <s v="-"/>
    <s v="No"/>
    <n v="0"/>
    <n v="1"/>
    <n v="4"/>
  </r>
  <r>
    <n v="3502"/>
    <s v="Henrique Gonçalves"/>
    <x v="0"/>
    <d v="2024-11-23T00:00:00"/>
    <x v="0"/>
    <n v="15"/>
    <s v="Quarterly"/>
    <s v="Yes"/>
    <n v="30"/>
    <s v="Yes"/>
    <n v="20"/>
    <n v="7"/>
    <n v="58"/>
  </r>
  <r>
    <n v="3503"/>
    <s v="Íris Santos"/>
    <x v="2"/>
    <d v="2024-11-24T00:00:00"/>
    <x v="1"/>
    <n v="10"/>
    <s v="Monthly"/>
    <s v="No"/>
    <s v="-"/>
    <s v="Yes"/>
    <n v="20"/>
    <n v="10"/>
    <n v="20"/>
  </r>
  <r>
    <n v="3504"/>
    <s v="João Marcelo Alves"/>
    <x v="1"/>
    <d v="2024-11-25T00:00:00"/>
    <x v="0"/>
    <n v="5"/>
    <s v="Annual"/>
    <s v="No"/>
    <s v="-"/>
    <s v="No"/>
    <n v="0"/>
    <n v="0"/>
    <n v="5"/>
  </r>
  <r>
    <n v="3505"/>
    <s v="Klara Fonseca"/>
    <x v="0"/>
    <d v="2024-11-26T00:00:00"/>
    <x v="1"/>
    <n v="15"/>
    <s v="Monthly"/>
    <s v="Yes"/>
    <n v="30"/>
    <s v="Yes"/>
    <n v="20"/>
    <n v="20"/>
    <n v="45"/>
  </r>
  <r>
    <n v="3506"/>
    <s v="Lucas Mendonça"/>
    <x v="2"/>
    <d v="2024-11-27T00:00:00"/>
    <x v="0"/>
    <n v="10"/>
    <s v="Quarterly"/>
    <s v="No"/>
    <s v="-"/>
    <s v="Yes"/>
    <n v="20"/>
    <n v="15"/>
    <n v="15"/>
  </r>
  <r>
    <n v="3507"/>
    <s v="Marcela Torres"/>
    <x v="1"/>
    <d v="2024-11-28T00:00:00"/>
    <x v="1"/>
    <n v="5"/>
    <s v="Monthly"/>
    <s v="No"/>
    <s v="-"/>
    <s v="No"/>
    <n v="0"/>
    <n v="1"/>
    <n v="4"/>
  </r>
  <r>
    <n v="3508"/>
    <s v="Natália Castro"/>
    <x v="0"/>
    <d v="2024-11-29T00:00:00"/>
    <x v="0"/>
    <n v="15"/>
    <s v="Annual"/>
    <s v="Yes"/>
    <n v="30"/>
    <s v="Yes"/>
    <n v="20"/>
    <n v="3"/>
    <n v="62"/>
  </r>
  <r>
    <n v="3509"/>
    <s v="Oscar Martins"/>
    <x v="2"/>
    <d v="2024-11-30T00:00:00"/>
    <x v="1"/>
    <n v="10"/>
    <s v="Monthly"/>
    <s v="No"/>
    <s v="-"/>
    <s v="Yes"/>
    <n v="20"/>
    <n v="10"/>
    <n v="20"/>
  </r>
  <r>
    <n v="3510"/>
    <s v="Patrícia Oliveira"/>
    <x v="1"/>
    <d v="2024-12-01T00:00:00"/>
    <x v="0"/>
    <n v="5"/>
    <s v="Quarterly"/>
    <s v="No"/>
    <s v="-"/>
    <s v="No"/>
    <n v="0"/>
    <n v="0"/>
    <n v="5"/>
  </r>
  <r>
    <n v="3511"/>
    <s v="Quentin Nogueira"/>
    <x v="0"/>
    <d v="2024-12-02T00:00:00"/>
    <x v="1"/>
    <n v="15"/>
    <s v="Monthly"/>
    <s v="Yes"/>
    <n v="30"/>
    <s v="Yes"/>
    <n v="20"/>
    <n v="15"/>
    <n v="50"/>
  </r>
  <r>
    <n v="3512"/>
    <s v="Raquel Silva"/>
    <x v="2"/>
    <d v="2024-12-03T00:00:00"/>
    <x v="0"/>
    <n v="10"/>
    <s v="Annual"/>
    <s v="No"/>
    <s v="-"/>
    <s v="Yes"/>
    <n v="20"/>
    <n v="15"/>
    <n v="15"/>
  </r>
  <r>
    <n v="3513"/>
    <s v="Sandro Gomes"/>
    <x v="1"/>
    <d v="2024-12-04T00:00:00"/>
    <x v="1"/>
    <n v="5"/>
    <s v="Monthly"/>
    <s v="No"/>
    <s v="-"/>
    <s v="No"/>
    <n v="0"/>
    <n v="1"/>
    <n v="4"/>
  </r>
  <r>
    <n v="3514"/>
    <s v="Tânia Machado"/>
    <x v="0"/>
    <d v="2024-12-05T00:00:00"/>
    <x v="0"/>
    <n v="15"/>
    <s v="Quarterly"/>
    <s v="Yes"/>
    <n v="30"/>
    <s v="Yes"/>
    <n v="20"/>
    <n v="7"/>
    <n v="58"/>
  </r>
  <r>
    <n v="3515"/>
    <s v="Ursula Silva"/>
    <x v="2"/>
    <d v="2024-12-06T00:00:00"/>
    <x v="1"/>
    <n v="10"/>
    <s v="Monthly"/>
    <s v="No"/>
    <s v="-"/>
    <s v="Yes"/>
    <n v="20"/>
    <n v="10"/>
    <n v="20"/>
  </r>
  <r>
    <n v="3516"/>
    <s v="Vanessa Moraes"/>
    <x v="1"/>
    <d v="2024-12-07T00:00:00"/>
    <x v="0"/>
    <n v="5"/>
    <s v="Annual"/>
    <s v="No"/>
    <s v="-"/>
    <s v="No"/>
    <n v="0"/>
    <n v="0"/>
    <n v="5"/>
  </r>
  <r>
    <n v="3517"/>
    <s v="William Carvalho"/>
    <x v="0"/>
    <d v="2024-12-08T00:00:00"/>
    <x v="1"/>
    <n v="15"/>
    <s v="Monthly"/>
    <s v="Yes"/>
    <n v="30"/>
    <s v="Yes"/>
    <n v="20"/>
    <n v="20"/>
    <n v="45"/>
  </r>
  <r>
    <n v="3518"/>
    <s v="Xavier Reis"/>
    <x v="2"/>
    <d v="2024-12-09T00:00:00"/>
    <x v="0"/>
    <n v="10"/>
    <s v="Quarterly"/>
    <s v="No"/>
    <s v="-"/>
    <s v="Yes"/>
    <n v="20"/>
    <n v="12"/>
    <n v="18"/>
  </r>
  <r>
    <n v="3519"/>
    <s v="Yasmin Rocha"/>
    <x v="1"/>
    <d v="2024-12-10T00:00:00"/>
    <x v="1"/>
    <n v="5"/>
    <s v="Monthly"/>
    <s v="No"/>
    <s v="-"/>
    <s v="No"/>
    <n v="0"/>
    <n v="2"/>
    <n v="3"/>
  </r>
  <r>
    <n v="3520"/>
    <s v="Zacarias Duarte"/>
    <x v="0"/>
    <d v="2024-12-11T00:00:00"/>
    <x v="0"/>
    <n v="15"/>
    <s v="Annual"/>
    <s v="Yes"/>
    <n v="30"/>
    <s v="Yes"/>
    <n v="20"/>
    <n v="5"/>
    <n v="60"/>
  </r>
  <r>
    <n v="3521"/>
    <s v="Amanda Freitas"/>
    <x v="2"/>
    <d v="2024-12-12T00:00:00"/>
    <x v="1"/>
    <n v="10"/>
    <s v="Monthly"/>
    <s v="No"/>
    <s v="-"/>
    <s v="Yes"/>
    <n v="20"/>
    <n v="10"/>
    <n v="20"/>
  </r>
  <r>
    <n v="3522"/>
    <s v="Bruno Almeida"/>
    <x v="1"/>
    <d v="2024-12-13T00:00:00"/>
    <x v="0"/>
    <n v="5"/>
    <s v="Quarterly"/>
    <s v="No"/>
    <s v="-"/>
    <s v="No"/>
    <n v="0"/>
    <n v="0"/>
    <n v="5"/>
  </r>
  <r>
    <n v="3523"/>
    <s v="Carla Siqueira"/>
    <x v="0"/>
    <d v="2024-12-14T00:00:00"/>
    <x v="1"/>
    <n v="15"/>
    <s v="Monthly"/>
    <s v="Yes"/>
    <n v="30"/>
    <s v="Yes"/>
    <n v="20"/>
    <n v="3"/>
    <n v="62"/>
  </r>
  <r>
    <n v="3524"/>
    <s v="Diogo Ramos"/>
    <x v="2"/>
    <d v="2024-12-15T00:00:00"/>
    <x v="0"/>
    <n v="10"/>
    <s v="Annual"/>
    <s v="No"/>
    <s v="-"/>
    <s v="Yes"/>
    <n v="20"/>
    <n v="15"/>
    <n v="15"/>
  </r>
  <r>
    <n v="3525"/>
    <s v="Elisa Magalhães"/>
    <x v="1"/>
    <d v="2024-12-16T00:00:00"/>
    <x v="1"/>
    <n v="5"/>
    <s v="Monthly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8AA56-C674-410D-B731-334A08BD7462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I6:J9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E0692-E80B-4E7A-920E-F3BB008BFEC9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C14:F19" firstHeaderRow="1" firstDataRow="2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Col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Subscriber ID" fld="0" subtotal="count" baseField="4" baseItem="0"/>
  </dataFields>
  <chartFormats count="4"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881AC-45B9-4186-9E89-A68CD89E33A5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6:D10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2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vendas" displayName="tbl_vendas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244" sqref="E24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J19"/>
  <sheetViews>
    <sheetView showGridLines="0" workbookViewId="0">
      <selection activeCell="H9" sqref="H9"/>
    </sheetView>
  </sheetViews>
  <sheetFormatPr defaultRowHeight="14.4" x14ac:dyDescent="0.3"/>
  <cols>
    <col min="3" max="3" width="23.77734375" bestFit="1" customWidth="1"/>
    <col min="4" max="4" width="18.109375" bestFit="1" customWidth="1"/>
    <col min="5" max="5" width="4" bestFit="1" customWidth="1"/>
    <col min="6" max="7" width="10" bestFit="1" customWidth="1"/>
    <col min="8" max="8" width="11.88671875" bestFit="1" customWidth="1"/>
    <col min="9" max="9" width="16.77734375" bestFit="1" customWidth="1"/>
    <col min="10" max="10" width="17.88671875" bestFit="1" customWidth="1"/>
    <col min="11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6" spans="3:10" x14ac:dyDescent="0.3">
      <c r="C6" s="13" t="s">
        <v>314</v>
      </c>
      <c r="D6" t="s">
        <v>313</v>
      </c>
      <c r="I6" s="13" t="s">
        <v>314</v>
      </c>
      <c r="J6" t="s">
        <v>313</v>
      </c>
    </row>
    <row r="7" spans="3:10" x14ac:dyDescent="0.3">
      <c r="C7" s="14" t="s">
        <v>22</v>
      </c>
      <c r="D7" s="12">
        <v>444</v>
      </c>
      <c r="I7" s="14" t="s">
        <v>23</v>
      </c>
      <c r="J7" s="12">
        <v>3847</v>
      </c>
    </row>
    <row r="8" spans="3:10" x14ac:dyDescent="0.3">
      <c r="C8" s="14" t="s">
        <v>26</v>
      </c>
      <c r="D8" s="12">
        <v>1801</v>
      </c>
      <c r="H8" s="15">
        <f>GETPIVOTDATA("Total Value",$C$6)</f>
        <v>7633</v>
      </c>
      <c r="I8" s="14" t="s">
        <v>19</v>
      </c>
      <c r="J8" s="12">
        <v>3786</v>
      </c>
    </row>
    <row r="9" spans="3:10" x14ac:dyDescent="0.3">
      <c r="C9" s="14" t="s">
        <v>18</v>
      </c>
      <c r="D9" s="12">
        <v>5388</v>
      </c>
      <c r="H9" s="15">
        <f>GETPIVOTDATA("Total Value",$I$6,"Auto Renewal","Yes")</f>
        <v>3786</v>
      </c>
      <c r="I9" s="14" t="s">
        <v>315</v>
      </c>
      <c r="J9" s="12">
        <v>7633</v>
      </c>
    </row>
    <row r="10" spans="3:10" x14ac:dyDescent="0.3">
      <c r="C10" s="14" t="s">
        <v>315</v>
      </c>
      <c r="D10" s="12">
        <v>7633</v>
      </c>
      <c r="G10" s="15"/>
    </row>
    <row r="14" spans="3:10" x14ac:dyDescent="0.3">
      <c r="C14" s="13" t="s">
        <v>318</v>
      </c>
      <c r="D14" s="13" t="s">
        <v>317</v>
      </c>
    </row>
    <row r="15" spans="3:10" x14ac:dyDescent="0.3">
      <c r="C15" s="13" t="s">
        <v>314</v>
      </c>
      <c r="D15" t="s">
        <v>23</v>
      </c>
      <c r="E15" t="s">
        <v>19</v>
      </c>
      <c r="F15" t="s">
        <v>315</v>
      </c>
    </row>
    <row r="16" spans="3:10" x14ac:dyDescent="0.3">
      <c r="C16" s="14" t="s">
        <v>22</v>
      </c>
      <c r="D16" s="18">
        <v>50</v>
      </c>
      <c r="E16" s="18">
        <v>51</v>
      </c>
      <c r="F16" s="18">
        <v>101</v>
      </c>
    </row>
    <row r="17" spans="3:6" x14ac:dyDescent="0.3">
      <c r="C17" s="14" t="s">
        <v>26</v>
      </c>
      <c r="D17" s="18">
        <v>47</v>
      </c>
      <c r="E17" s="18">
        <v>49</v>
      </c>
      <c r="F17" s="18">
        <v>96</v>
      </c>
    </row>
    <row r="18" spans="3:6" x14ac:dyDescent="0.3">
      <c r="C18" s="14" t="s">
        <v>18</v>
      </c>
      <c r="D18" s="18">
        <v>50</v>
      </c>
      <c r="E18" s="18">
        <v>48</v>
      </c>
      <c r="F18" s="18">
        <v>98</v>
      </c>
    </row>
    <row r="19" spans="3:6" x14ac:dyDescent="0.3">
      <c r="C19" s="14" t="s">
        <v>315</v>
      </c>
      <c r="D19" s="18">
        <v>147</v>
      </c>
      <c r="E19" s="18">
        <v>148</v>
      </c>
      <c r="F19" s="18">
        <v>295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7"/>
  <sheetViews>
    <sheetView showGridLines="0" tabSelected="1" zoomScale="80" zoomScaleNormal="80" workbookViewId="0">
      <selection activeCell="W22" sqref="W22"/>
    </sheetView>
  </sheetViews>
  <sheetFormatPr defaultRowHeight="14.4" x14ac:dyDescent="0.3"/>
  <cols>
    <col min="1" max="1" width="20" style="5" customWidth="1"/>
    <col min="2" max="2" width="3.5546875" style="17" customWidth="1"/>
    <col min="3" max="11" width="8.88671875" style="17"/>
    <col min="12" max="12" width="6.5546875" style="17" customWidth="1"/>
    <col min="13" max="16384" width="8.88671875" style="17"/>
  </cols>
  <sheetData>
    <row r="1" spans="1:3" s="4" customFormat="1" ht="75.599999999999994" customHeight="1" x14ac:dyDescent="0.75">
      <c r="A1" s="5"/>
      <c r="C1" s="16" t="s">
        <v>316</v>
      </c>
    </row>
    <row r="2" spans="1:3" ht="39" customHeight="1" x14ac:dyDescent="0.3"/>
    <row r="3" spans="1:3" ht="8.25" customHeight="1" x14ac:dyDescent="0.3"/>
    <row r="4" spans="1:3" ht="7.5" customHeight="1" x14ac:dyDescent="0.3"/>
    <row r="5" spans="1:3" ht="10.5" customHeight="1" x14ac:dyDescent="0.3"/>
    <row r="6" spans="1:3" ht="9.75" customHeight="1" x14ac:dyDescent="0.3"/>
    <row r="7" spans="1:3" ht="33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Hugo Kersbaumer Knupp - PrestServ</cp:lastModifiedBy>
  <dcterms:created xsi:type="dcterms:W3CDTF">2024-12-19T13:13:10Z</dcterms:created>
  <dcterms:modified xsi:type="dcterms:W3CDTF">2026-03-10T20:43:14Z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